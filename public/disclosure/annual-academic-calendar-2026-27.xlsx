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web\wellspire school\wellsprire-school-new-site\public\disclosure\"/>
    </mc:Choice>
  </mc:AlternateContent>
  <xr:revisionPtr revIDLastSave="0" documentId="8_{785C4223-1197-4C21-8D6B-8607B7E8E8ED}" xr6:coauthVersionLast="47" xr6:coauthVersionMax="47" xr10:uidLastSave="{00000000-0000-0000-0000-000000000000}"/>
  <bookViews>
    <workbookView xWindow="-108" yWindow="-108" windowWidth="23256" windowHeight="12456" xr2:uid="{3E623CC4-83D7-405D-BBFA-3388B3540FA9}"/>
  </bookViews>
  <sheets>
    <sheet name="Themes" sheetId="6" r:id="rId1"/>
    <sheet name="Holidays" sheetId="5" r:id="rId2"/>
    <sheet name="Working Days" sheetId="4" r:id="rId3"/>
    <sheet name="Overview" sheetId="3" r:id="rId4"/>
    <sheet name="Calendar" sheetId="2" r:id="rId5"/>
  </sheets>
  <externalReferences>
    <externalReference r:id="rId6"/>
    <externalReference r:id="rId7"/>
  </externalReferences>
  <definedNames>
    <definedName name="Calendar10Month" localSheetId="1">[1]Calendar!$C$146</definedName>
    <definedName name="Calendar10Month" localSheetId="3">[1]Calendar!$C$146</definedName>
    <definedName name="Calendar10Month" localSheetId="0">[1]Calendar!$C$146</definedName>
    <definedName name="Calendar10Month" localSheetId="2">[1]Calendar!$C$146</definedName>
    <definedName name="Calendar10Month">Calendar!$C$146</definedName>
    <definedName name="Calendar10MonthOption" localSheetId="1">MATCH(Holidays!Calendar10Month,Holidays!Months,0)</definedName>
    <definedName name="Calendar10MonthOption" localSheetId="3">MATCH(Overview!Calendar10Month,Overview!Months,0)</definedName>
    <definedName name="Calendar10MonthOption" localSheetId="0">MATCH(Themes!Calendar10Month,Themes!Months,0)</definedName>
    <definedName name="Calendar10MonthOption" localSheetId="2">MATCH('Working Days'!Calendar10Month,'Working Days'!Months,0)</definedName>
    <definedName name="Calendar10MonthOption">MATCH(Calendar10Month,Months,0)</definedName>
    <definedName name="Calendar10Year" localSheetId="1">[1]Calendar!$B$146</definedName>
    <definedName name="Calendar10Year" localSheetId="3">[1]Calendar!$B$146</definedName>
    <definedName name="Calendar10Year" localSheetId="0">[1]Calendar!$B$146</definedName>
    <definedName name="Calendar10Year" localSheetId="2">[1]Calendar!$B$146</definedName>
    <definedName name="Calendar10Year">Calendar!$B$146</definedName>
    <definedName name="Calendar11Month" localSheetId="1">[1]Calendar!$C$162</definedName>
    <definedName name="Calendar11Month" localSheetId="3">[1]Calendar!$C$162</definedName>
    <definedName name="Calendar11Month" localSheetId="0">[1]Calendar!$C$162</definedName>
    <definedName name="Calendar11Month" localSheetId="2">[1]Calendar!$C$162</definedName>
    <definedName name="Calendar11Month">Calendar!$C$162</definedName>
    <definedName name="Calendar11MonthOption" localSheetId="1">MATCH(Holidays!Calendar11Month,Holidays!Months,0)</definedName>
    <definedName name="Calendar11MonthOption" localSheetId="3">MATCH(Overview!Calendar11Month,Overview!Months,0)</definedName>
    <definedName name="Calendar11MonthOption" localSheetId="0">MATCH(Themes!Calendar11Month,Themes!Months,0)</definedName>
    <definedName name="Calendar11MonthOption" localSheetId="2">MATCH('Working Days'!Calendar11Month,'Working Days'!Months,0)</definedName>
    <definedName name="Calendar11MonthOption">MATCH(Calendar11Month,Months,0)</definedName>
    <definedName name="Calendar11Year" localSheetId="1">[1]Calendar!$B$162</definedName>
    <definedName name="Calendar11Year" localSheetId="3">[1]Calendar!$B$162</definedName>
    <definedName name="Calendar11Year" localSheetId="0">[1]Calendar!$B$162</definedName>
    <definedName name="Calendar11Year" localSheetId="2">[1]Calendar!$B$162</definedName>
    <definedName name="Calendar11Year">Calendar!$B$162</definedName>
    <definedName name="Calendar12Month" localSheetId="1">[1]Calendar!$C$178</definedName>
    <definedName name="Calendar12Month" localSheetId="3">[1]Calendar!$C$178</definedName>
    <definedName name="Calendar12Month" localSheetId="0">[1]Calendar!$C$178</definedName>
    <definedName name="Calendar12Month" localSheetId="2">[1]Calendar!$C$178</definedName>
    <definedName name="Calendar12Month">Calendar!$C$178</definedName>
    <definedName name="Calendar12MonthOption" localSheetId="1">MATCH(Holidays!Calendar12Month,Holidays!Months,0)</definedName>
    <definedName name="Calendar12MonthOption" localSheetId="3">MATCH(Overview!Calendar12Month,Overview!Months,0)</definedName>
    <definedName name="Calendar12MonthOption" localSheetId="0">MATCH(Themes!Calendar12Month,Themes!Months,0)</definedName>
    <definedName name="Calendar12MonthOption" localSheetId="2">MATCH('Working Days'!Calendar12Month,'Working Days'!Months,0)</definedName>
    <definedName name="Calendar12MonthOption">MATCH(Calendar12Month,Months,0)</definedName>
    <definedName name="Calendar12Year" localSheetId="1">[1]Calendar!$B$178</definedName>
    <definedName name="Calendar12Year" localSheetId="3">[1]Calendar!$B$178</definedName>
    <definedName name="Calendar12Year" localSheetId="0">[1]Calendar!$B$178</definedName>
    <definedName name="Calendar12Year" localSheetId="2">[1]Calendar!$B$178</definedName>
    <definedName name="Calendar12Year">Calendar!$B$178</definedName>
    <definedName name="Calendar1Month" localSheetId="1">[1]Calendar!$C$2</definedName>
    <definedName name="Calendar1Month" localSheetId="3">[1]Calendar!$C$2</definedName>
    <definedName name="Calendar1Month" localSheetId="0">[1]Calendar!$C$2</definedName>
    <definedName name="Calendar1Month" localSheetId="2">[1]Calendar!$C$2</definedName>
    <definedName name="Calendar1Month">Calendar!$C$2</definedName>
    <definedName name="Calendar1MonthOption" localSheetId="1">MATCH(Holidays!Calendar1Month,Holidays!Months,0)</definedName>
    <definedName name="Calendar1MonthOption" localSheetId="3">MATCH(Overview!Calendar1Month,Overview!Months,0)</definedName>
    <definedName name="Calendar1MonthOption" localSheetId="0">MATCH(Themes!Calendar1Month,Themes!Months,0)</definedName>
    <definedName name="Calendar1MonthOption" localSheetId="2">MATCH('Working Days'!Calendar1Month,'Working Days'!Months,0)</definedName>
    <definedName name="Calendar1MonthOption">MATCH(Calendar1Month,Months,0)</definedName>
    <definedName name="Calendar1Year" localSheetId="1">[1]Calendar!$B$2</definedName>
    <definedName name="Calendar1Year" localSheetId="3">[1]Calendar!$B$2</definedName>
    <definedName name="Calendar1Year" localSheetId="0">[1]Calendar!$B$2</definedName>
    <definedName name="Calendar1Year" localSheetId="2">[1]Calendar!$B$2</definedName>
    <definedName name="Calendar1Year">Calendar!$B$2</definedName>
    <definedName name="Calendar2Month" localSheetId="1">[1]Calendar!$C$18</definedName>
    <definedName name="Calendar2Month" localSheetId="3">[1]Calendar!$C$18</definedName>
    <definedName name="Calendar2Month" localSheetId="0">[1]Calendar!$C$18</definedName>
    <definedName name="Calendar2Month" localSheetId="2">[1]Calendar!$C$18</definedName>
    <definedName name="Calendar2Month">Calendar!$C$18</definedName>
    <definedName name="Calendar2MonthOption" localSheetId="1">MATCH(Holidays!Calendar2Month,Holidays!Months,0)</definedName>
    <definedName name="Calendar2MonthOption" localSheetId="3">MATCH(Overview!Calendar2Month,Overview!Months,0)</definedName>
    <definedName name="Calendar2MonthOption" localSheetId="0">MATCH(Themes!Calendar2Month,Themes!Months,0)</definedName>
    <definedName name="Calendar2MonthOption" localSheetId="2">MATCH('Working Days'!Calendar2Month,'Working Days'!Months,0)</definedName>
    <definedName name="Calendar2MonthOption">MATCH(Calendar2Month,Months,0)</definedName>
    <definedName name="Calendar2Year" localSheetId="1">[1]Calendar!$B$18</definedName>
    <definedName name="Calendar2Year" localSheetId="3">[1]Calendar!$B$18</definedName>
    <definedName name="Calendar2Year" localSheetId="0">[1]Calendar!$B$18</definedName>
    <definedName name="Calendar2Year" localSheetId="2">[1]Calendar!$B$18</definedName>
    <definedName name="Calendar2Year">Calendar!$B$18</definedName>
    <definedName name="Calendar3Month" localSheetId="1">[1]Calendar!$C$34</definedName>
    <definedName name="Calendar3Month" localSheetId="3">[1]Calendar!$C$34</definedName>
    <definedName name="Calendar3Month" localSheetId="0">[1]Calendar!$C$34</definedName>
    <definedName name="Calendar3Month" localSheetId="2">[1]Calendar!$C$34</definedName>
    <definedName name="Calendar3Month">Calendar!$C$34</definedName>
    <definedName name="Calendar3MonthOption" localSheetId="1">MATCH(Holidays!Calendar3Month,Holidays!Months,0)</definedName>
    <definedName name="Calendar3MonthOption" localSheetId="3">MATCH(Overview!Calendar3Month,Overview!Months,0)</definedName>
    <definedName name="Calendar3MonthOption" localSheetId="0">MATCH(Themes!Calendar3Month,Themes!Months,0)</definedName>
    <definedName name="Calendar3MonthOption" localSheetId="2">MATCH('Working Days'!Calendar3Month,'Working Days'!Months,0)</definedName>
    <definedName name="Calendar3MonthOption">MATCH(Calendar3Month,Months,0)</definedName>
    <definedName name="Calendar3Year" localSheetId="1">[1]Calendar!$B$34</definedName>
    <definedName name="Calendar3Year" localSheetId="3">[1]Calendar!$B$34</definedName>
    <definedName name="Calendar3Year" localSheetId="0">[1]Calendar!$B$34</definedName>
    <definedName name="Calendar3Year" localSheetId="2">[1]Calendar!$B$34</definedName>
    <definedName name="Calendar3Year">Calendar!$B$34</definedName>
    <definedName name="Calendar4Month" localSheetId="1">[1]Calendar!$C$50</definedName>
    <definedName name="Calendar4Month" localSheetId="3">[1]Calendar!$C$50</definedName>
    <definedName name="Calendar4Month" localSheetId="0">[1]Calendar!$C$50</definedName>
    <definedName name="Calendar4Month" localSheetId="2">[1]Calendar!$C$50</definedName>
    <definedName name="Calendar4Month">Calendar!$C$50</definedName>
    <definedName name="Calendar4MonthOption" localSheetId="1">MATCH(Holidays!Calendar4Month,Holidays!Months,0)</definedName>
    <definedName name="Calendar4MonthOption" localSheetId="3">MATCH(Overview!Calendar4Month,Overview!Months,0)</definedName>
    <definedName name="Calendar4MonthOption" localSheetId="0">MATCH(Themes!Calendar4Month,Themes!Months,0)</definedName>
    <definedName name="Calendar4MonthOption" localSheetId="2">MATCH('Working Days'!Calendar4Month,'Working Days'!Months,0)</definedName>
    <definedName name="Calendar4MonthOption">MATCH(Calendar4Month,Months,0)</definedName>
    <definedName name="Calendar4Year" localSheetId="1">[1]Calendar!$B$50</definedName>
    <definedName name="Calendar4Year" localSheetId="3">[1]Calendar!$B$50</definedName>
    <definedName name="Calendar4Year" localSheetId="0">[1]Calendar!$B$50</definedName>
    <definedName name="Calendar4Year" localSheetId="2">[1]Calendar!$B$50</definedName>
    <definedName name="Calendar4Year">Calendar!$B$50</definedName>
    <definedName name="Calendar5Month" localSheetId="1">[1]Calendar!$C$66</definedName>
    <definedName name="Calendar5Month" localSheetId="3">[1]Calendar!$C$66</definedName>
    <definedName name="Calendar5Month" localSheetId="0">[1]Calendar!$C$66</definedName>
    <definedName name="Calendar5Month" localSheetId="2">[1]Calendar!$C$66</definedName>
    <definedName name="Calendar5Month">Calendar!$C$66</definedName>
    <definedName name="Calendar5MonthOption" localSheetId="1">MATCH(Holidays!Calendar5Month,Holidays!Months,0)</definedName>
    <definedName name="Calendar5MonthOption" localSheetId="3">MATCH(Overview!Calendar5Month,Overview!Months,0)</definedName>
    <definedName name="Calendar5MonthOption" localSheetId="0">MATCH(Themes!Calendar5Month,Themes!Months,0)</definedName>
    <definedName name="Calendar5MonthOption" localSheetId="2">MATCH('Working Days'!Calendar5Month,'Working Days'!Months,0)</definedName>
    <definedName name="Calendar5MonthOption">MATCH(Calendar5Month,Months,0)</definedName>
    <definedName name="Calendar5Year" localSheetId="1">[1]Calendar!$B$66</definedName>
    <definedName name="Calendar5Year" localSheetId="3">[1]Calendar!$B$66</definedName>
    <definedName name="Calendar5Year" localSheetId="0">[1]Calendar!$B$66</definedName>
    <definedName name="Calendar5Year" localSheetId="2">[1]Calendar!$B$66</definedName>
    <definedName name="Calendar5Year">Calendar!$B$66</definedName>
    <definedName name="Calendar6Month" localSheetId="1">[1]Calendar!$C$82</definedName>
    <definedName name="Calendar6Month" localSheetId="3">[1]Calendar!$C$82</definedName>
    <definedName name="Calendar6Month" localSheetId="0">[1]Calendar!$C$82</definedName>
    <definedName name="Calendar6Month" localSheetId="2">[1]Calendar!$C$82</definedName>
    <definedName name="Calendar6Month">Calendar!$C$82</definedName>
    <definedName name="Calendar6MonthOption" localSheetId="1">MATCH(Holidays!Calendar6Month,Holidays!Months,0)</definedName>
    <definedName name="Calendar6MonthOption" localSheetId="3">MATCH(Overview!Calendar6Month,Overview!Months,0)</definedName>
    <definedName name="Calendar6MonthOption" localSheetId="0">MATCH(Themes!Calendar6Month,Themes!Months,0)</definedName>
    <definedName name="Calendar6MonthOption" localSheetId="2">MATCH('Working Days'!Calendar6Month,'Working Days'!Months,0)</definedName>
    <definedName name="Calendar6MonthOption">MATCH(Calendar6Month,Months,0)</definedName>
    <definedName name="Calendar6Year" localSheetId="1">[1]Calendar!$B$82</definedName>
    <definedName name="Calendar6Year" localSheetId="3">[1]Calendar!$B$82</definedName>
    <definedName name="Calendar6Year" localSheetId="0">[1]Calendar!$B$82</definedName>
    <definedName name="Calendar6Year" localSheetId="2">[1]Calendar!$B$82</definedName>
    <definedName name="Calendar6Year">Calendar!$B$82</definedName>
    <definedName name="Calendar7Month" localSheetId="1">[1]Calendar!$C$98</definedName>
    <definedName name="Calendar7Month" localSheetId="3">[1]Calendar!$C$98</definedName>
    <definedName name="Calendar7Month" localSheetId="0">[1]Calendar!$C$98</definedName>
    <definedName name="Calendar7Month" localSheetId="2">[1]Calendar!$C$98</definedName>
    <definedName name="Calendar7Month">Calendar!$C$98</definedName>
    <definedName name="Calendar7MonthOption" localSheetId="1">MATCH(Holidays!Calendar7Month,Holidays!Months,0)</definedName>
    <definedName name="Calendar7MonthOption" localSheetId="3">MATCH(Overview!Calendar7Month,Overview!Months,0)</definedName>
    <definedName name="Calendar7MonthOption" localSheetId="0">MATCH(Themes!Calendar7Month,Themes!Months,0)</definedName>
    <definedName name="Calendar7MonthOption" localSheetId="2">MATCH('Working Days'!Calendar7Month,'Working Days'!Months,0)</definedName>
    <definedName name="Calendar7MonthOption">MATCH(Calendar7Month,Months,0)</definedName>
    <definedName name="Calendar7Year" localSheetId="1">[1]Calendar!$B$98</definedName>
    <definedName name="Calendar7Year" localSheetId="3">[1]Calendar!$B$98</definedName>
    <definedName name="Calendar7Year" localSheetId="0">[1]Calendar!$B$98</definedName>
    <definedName name="Calendar7Year" localSheetId="2">[1]Calendar!$B$98</definedName>
    <definedName name="Calendar7Year">Calendar!$B$98</definedName>
    <definedName name="Calendar8Month" localSheetId="1">[1]Calendar!$C$114</definedName>
    <definedName name="Calendar8Month" localSheetId="3">[1]Calendar!$C$114</definedName>
    <definedName name="Calendar8Month" localSheetId="0">[1]Calendar!$C$114</definedName>
    <definedName name="Calendar8Month" localSheetId="2">[1]Calendar!$C$114</definedName>
    <definedName name="Calendar8Month">Calendar!$C$114</definedName>
    <definedName name="Calendar8MonthOption" localSheetId="1">MATCH(Holidays!Calendar8Month,Holidays!Months,0)</definedName>
    <definedName name="Calendar8MonthOption" localSheetId="3">MATCH(Overview!Calendar8Month,Overview!Months,0)</definedName>
    <definedName name="Calendar8MonthOption" localSheetId="0">MATCH(Themes!Calendar8Month,Themes!Months,0)</definedName>
    <definedName name="Calendar8MonthOption" localSheetId="2">MATCH('Working Days'!Calendar8Month,'Working Days'!Months,0)</definedName>
    <definedName name="Calendar8MonthOption">MATCH(Calendar8Month,Months,0)</definedName>
    <definedName name="Calendar8Year" localSheetId="1">[1]Calendar!$B$114</definedName>
    <definedName name="Calendar8Year" localSheetId="3">[1]Calendar!$B$114</definedName>
    <definedName name="Calendar8Year" localSheetId="0">[1]Calendar!$B$114</definedName>
    <definedName name="Calendar8Year" localSheetId="2">[1]Calendar!$B$114</definedName>
    <definedName name="Calendar8Year">Calendar!$B$114</definedName>
    <definedName name="Calendar9Month" localSheetId="1">[1]Calendar!$C$130</definedName>
    <definedName name="Calendar9Month" localSheetId="3">[1]Calendar!$C$130</definedName>
    <definedName name="Calendar9Month" localSheetId="0">[1]Calendar!$C$130</definedName>
    <definedName name="Calendar9Month" localSheetId="2">[1]Calendar!$C$130</definedName>
    <definedName name="Calendar9Month">Calendar!$C$130</definedName>
    <definedName name="Calendar9MonthOption" localSheetId="1">MATCH(Holidays!Calendar9Month,Holidays!Months,0)</definedName>
    <definedName name="Calendar9MonthOption" localSheetId="3">MATCH(Overview!Calendar9Month,Overview!Months,0)</definedName>
    <definedName name="Calendar9MonthOption" localSheetId="0">MATCH(Themes!Calendar9Month,Themes!Months,0)</definedName>
    <definedName name="Calendar9MonthOption" localSheetId="2">MATCH('Working Days'!Calendar9Month,'Working Days'!Months,0)</definedName>
    <definedName name="Calendar9MonthOption">MATCH(Calendar9Month,Months,0)</definedName>
    <definedName name="Calendar9Year" localSheetId="1">[1]Calendar!$B$130</definedName>
    <definedName name="Calendar9Year" localSheetId="3">[1]Calendar!$B$130</definedName>
    <definedName name="Calendar9Year" localSheetId="0">[1]Calendar!$B$130</definedName>
    <definedName name="Calendar9Year" localSheetId="2">[1]Calendar!$B$130</definedName>
    <definedName name="Calendar9Year">Calendar!$B$130</definedName>
    <definedName name="CalendarYear">[2]January!$K$5</definedName>
    <definedName name="ColumnTitleRegion1..H12.1">Calendar!$B$4</definedName>
    <definedName name="ColumnTitleRegion10..H54.1">Calendar!$B$52</definedName>
    <definedName name="ColumnTitleRegion11..C56.1">Calendar!$B$52</definedName>
    <definedName name="ColumnTitleRegion12..D56.1">Calendar!$D$63</definedName>
    <definedName name="ColumnTitleRegion13..H68.1">Calendar!$B$68</definedName>
    <definedName name="ColumnTitleRegion14..C70.1">Calendar!$B$68</definedName>
    <definedName name="ColumnTitleRegion15..D70.1">Calendar!$D$79</definedName>
    <definedName name="ColumnTitleRegion16..H82.1">Calendar!$B$84</definedName>
    <definedName name="ColumnTitleRegion17..C84.1">Calendar!$B$84</definedName>
    <definedName name="ColumnTitleRegion18..D84.1">Calendar!$D$95</definedName>
    <definedName name="ColumnTitleRegion19..H96.1">Calendar!$B$100</definedName>
    <definedName name="ColumnTitleRegion2..C14.1">Calendar!$B$4</definedName>
    <definedName name="ColumnTitleRegion20..C98.1">Calendar!$B$100</definedName>
    <definedName name="ColumnTitleRegion21..D98.1">Calendar!$D$111</definedName>
    <definedName name="ColumnTitleRegion22..H110.1">Calendar!$B$116</definedName>
    <definedName name="ColumnTitleRegion23..C112.1">Calendar!$B$116</definedName>
    <definedName name="ColumnTitleRegion24..D112.1">Calendar!$D$127</definedName>
    <definedName name="ColumnTitleRegion25..H124.1">Calendar!$B$132</definedName>
    <definedName name="ColumnTitleRegion26..C126.1">Calendar!$B$132</definedName>
    <definedName name="ColumnTitleRegion27..D126.1">Calendar!$D$143</definedName>
    <definedName name="ColumnTitleRegion28..H138.1">Calendar!$B$148</definedName>
    <definedName name="ColumnTitleRegion29..C140.1">Calendar!$B$148</definedName>
    <definedName name="ColumnTitleRegion3..D14.1">Calendar!$D$15</definedName>
    <definedName name="ColumnTitleRegion30..D140.1">Calendar!$D$159</definedName>
    <definedName name="ColumnTitleRegion31..H152.1">Calendar!$B$164</definedName>
    <definedName name="ColumnTitleRegion32..C154.1">Calendar!$B$164</definedName>
    <definedName name="ColumnTitleRegion33..D154.1">Calendar!$D$175</definedName>
    <definedName name="ColumnTitleRegion34..H166.1">Calendar!$B$180</definedName>
    <definedName name="ColumnTitleRegion35..C168.1">Calendar!$B$180</definedName>
    <definedName name="ColumnTitleRegion36..D168.1">Calendar!$D$191</definedName>
    <definedName name="ColumnTitleRegion4..H26.1">Calendar!$B$20</definedName>
    <definedName name="ColumnTitleRegion5..C28.1">Calendar!$B$20</definedName>
    <definedName name="ColumnTitleRegion6..D28.1">Calendar!$D$31</definedName>
    <definedName name="ColumnTitleRegion7..H40.1">Calendar!$B$36</definedName>
    <definedName name="ColumnTitleRegion8..C42.1">Calendar!$B$36</definedName>
    <definedName name="ColumnTitleRegion9..D42.1">Calendar!$D$47</definedName>
    <definedName name="Days" localSheetId="1">{0,1,2,3,4,5,6}</definedName>
    <definedName name="Days" localSheetId="3">{0,1,2,3,4,5,6}</definedName>
    <definedName name="Days" localSheetId="0">{0,1,2,3,4,5,6}</definedName>
    <definedName name="Days" localSheetId="2">{0,1,2,3,4,5,6}</definedName>
    <definedName name="Days">{0,1,2,3,4,5,6}</definedName>
    <definedName name="DaysAndWeeks" localSheetId="1">{0,1,2,3,4,5,6} + {0;1;2;3;4;5}*7</definedName>
    <definedName name="DaysAndWeeks" localSheetId="3">{0,1,2,3,4,5,6} + {0;1;2;3;4;5}*7</definedName>
    <definedName name="DaysAndWeeks" localSheetId="0">{0,1,2,3,4,5,6} + {0;1;2;3;4;5}*7</definedName>
    <definedName name="DaysAndWeeks" localSheetId="2">{0,1,2,3,4,5,6} + {0;1;2;3;4;5}*7</definedName>
    <definedName name="DaysAndWeeks">{0,1,2,3,4,5,6} + {0;1;2;3;4;5}*7</definedName>
    <definedName name="Months" localSheetId="1">{"January","February","March","April","May","June","July","August","September","October","November","December"}</definedName>
    <definedName name="Months" localSheetId="3">{"January","February","March","April","May","June","July","August","September","October","November","December"}</definedName>
    <definedName name="Months" localSheetId="0">{"January","February","March","April","May","June","July","August","September","October","November","December"}</definedName>
    <definedName name="Months" localSheetId="2">{"January","February","March","April","May","June","July","August","September","October","November","December"}</definedName>
    <definedName name="Months">{"January","February","March","April","May","June","July","August","September","October","November","December"}</definedName>
    <definedName name="WeekdayOption" localSheetId="1">MATCH(Holidays!WeekStart,Holidays!Weekdays,0)+10</definedName>
    <definedName name="WeekdayOption" localSheetId="3">MATCH(Overview!WeekStart,Overview!Weekdays,0)+10</definedName>
    <definedName name="WeekdayOption" localSheetId="0">MATCH(Themes!WeekStart,Themes!Weekdays,0)+10</definedName>
    <definedName name="WeekdayOption" localSheetId="2">MATCH('Working Days'!WeekStart,'Working Days'!Weekdays,0)+10</definedName>
    <definedName name="WeekdayOption">MATCH(WeekStart,Weekdays,0)+10</definedName>
    <definedName name="Weekdays" localSheetId="1">{"Monday","Tuesday","Wednesday","Thursday","Friday","Saturday","Sunday"}</definedName>
    <definedName name="Weekdays" localSheetId="3">{"Monday","Tuesday","Wednesday","Thursday","Friday","Saturday","Sunday"}</definedName>
    <definedName name="Weekdays" localSheetId="0">{"Monday","Tuesday","Wednesday","Thursday","Friday","Saturday","Sunday"}</definedName>
    <definedName name="Weekdays" localSheetId="2">{"Monday","Tuesday","Wednesday","Thursday","Friday","Saturday","Sunday"}</definedName>
    <definedName name="Weekdays">{"Monday","Tuesday","Wednesday","Thursday","Friday","Saturday","Sunday"}</definedName>
    <definedName name="WeekStart" localSheetId="1">[1]Calendar!$B$4</definedName>
    <definedName name="WeekStart" localSheetId="3">[1]Calendar!$B$4</definedName>
    <definedName name="WeekStart" localSheetId="0">[1]Calendar!$B$4</definedName>
    <definedName name="WeekStart" localSheetId="2">[1]Calendar!$B$4</definedName>
    <definedName name="WeekStart">Calendar!$B$4</definedName>
    <definedName name="WeekStartValue" localSheetId="1">IF(Holidays!WeekStart="Monday",2,1)</definedName>
    <definedName name="WeekStartValue" localSheetId="3">IF(Overview!WeekStart="Monday",2,1)</definedName>
    <definedName name="WeekStartValue" localSheetId="0">IF(Themes!WeekStart="Monday",2,1)</definedName>
    <definedName name="WeekStartValue" localSheetId="2">IF('Working Days'!WeekStart="Monday",2,1)</definedName>
    <definedName name="WeekStartValue">IF(WeekStart="Monday",2,1)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 i="4" l="1"/>
  <c r="G15" i="4"/>
  <c r="G14" i="4"/>
  <c r="G13" i="4"/>
  <c r="G12" i="4"/>
  <c r="G11" i="4"/>
  <c r="G10" i="4"/>
  <c r="G9" i="4"/>
  <c r="G8" i="4"/>
  <c r="G7" i="4"/>
  <c r="B203" i="2" a="1"/>
  <c r="H203" i="2" s="1"/>
  <c r="B201" i="2" a="1"/>
  <c r="D201" i="2" s="1"/>
  <c r="B199" i="2" a="1"/>
  <c r="G199" i="2" s="1"/>
  <c r="B197" i="2" a="1"/>
  <c r="H197" i="2" s="1"/>
  <c r="H196" i="2" s="1"/>
  <c r="B187" i="2" a="1"/>
  <c r="B185" i="2" a="1"/>
  <c r="G185" i="2" s="1"/>
  <c r="B183" i="2" a="1"/>
  <c r="C183" i="2" s="1"/>
  <c r="B181" i="2" a="1"/>
  <c r="B181" i="2" s="1"/>
  <c r="B180" i="2" s="1"/>
  <c r="B175" i="2" a="1"/>
  <c r="B173" i="2" a="1"/>
  <c r="E173" i="2" s="1"/>
  <c r="B171" i="2" a="1"/>
  <c r="H171" i="2" s="1"/>
  <c r="B169" i="2" a="1"/>
  <c r="B167" i="2" a="1"/>
  <c r="E167" i="2" s="1"/>
  <c r="B165" i="2" a="1"/>
  <c r="H165" i="2" s="1"/>
  <c r="H164" i="2" s="1"/>
  <c r="B146" i="2"/>
  <c r="B130" i="2"/>
  <c r="B143" i="2" s="1" a="1"/>
  <c r="B114" i="2"/>
  <c r="B125" i="2" s="1" a="1"/>
  <c r="D125" i="2" s="1"/>
  <c r="B98" i="2"/>
  <c r="B103" i="2" s="1" a="1"/>
  <c r="H103" i="2" s="1"/>
  <c r="B82" i="2"/>
  <c r="B66" i="2"/>
  <c r="B79" i="2" s="1" a="1"/>
  <c r="B50" i="2"/>
  <c r="B61" i="2" s="1" a="1"/>
  <c r="D61" i="2" s="1"/>
  <c r="B34" i="2"/>
  <c r="B45" i="2" s="1" a="1"/>
  <c r="F45" i="2" s="1"/>
  <c r="C18" i="2"/>
  <c r="B18" i="2"/>
  <c r="B15" i="2" a="1"/>
  <c r="C15" i="2" s="1"/>
  <c r="B13" i="2" a="1"/>
  <c r="C13" i="2" s="1"/>
  <c r="B11" i="2" a="1"/>
  <c r="G11" i="2" s="1"/>
  <c r="B9" i="2" a="1"/>
  <c r="C9" i="2" s="1"/>
  <c r="B7" i="2" a="1"/>
  <c r="B5" i="2" a="1"/>
  <c r="G5" i="2" s="1"/>
  <c r="G4" i="2" s="1"/>
  <c r="B133" i="2" l="1" a="1"/>
  <c r="E133" i="2" s="1"/>
  <c r="E132" i="2" s="1"/>
  <c r="B135" i="2" a="1"/>
  <c r="G183" i="2"/>
  <c r="H183" i="2"/>
  <c r="G45" i="2"/>
  <c r="B59" i="2" a="1"/>
  <c r="D59" i="2" s="1"/>
  <c r="E183" i="2"/>
  <c r="C61" i="2"/>
  <c r="F183" i="2"/>
  <c r="B123" i="2" a="1"/>
  <c r="E123" i="2" s="1"/>
  <c r="G171" i="2"/>
  <c r="D171" i="2"/>
  <c r="E171" i="2"/>
  <c r="F171" i="2"/>
  <c r="B27" i="2" a="1"/>
  <c r="G27" i="2" s="1"/>
  <c r="C5" i="2"/>
  <c r="C4" i="2" s="1"/>
  <c r="D165" i="2"/>
  <c r="D164" i="2" s="1"/>
  <c r="C199" i="2"/>
  <c r="E165" i="2"/>
  <c r="E164" i="2" s="1"/>
  <c r="D199" i="2"/>
  <c r="C133" i="2"/>
  <c r="C132" i="2" s="1"/>
  <c r="F165" i="2"/>
  <c r="F164" i="2" s="1"/>
  <c r="E199" i="2"/>
  <c r="E9" i="2"/>
  <c r="F103" i="2"/>
  <c r="G173" i="2"/>
  <c r="C185" i="2"/>
  <c r="H199" i="2"/>
  <c r="F9" i="2"/>
  <c r="B31" i="2" a="1"/>
  <c r="B31" i="2" s="1"/>
  <c r="F133" i="2"/>
  <c r="F132" i="2" s="1"/>
  <c r="G167" i="2"/>
  <c r="H173" i="2"/>
  <c r="D185" i="2"/>
  <c r="G9" i="2"/>
  <c r="G133" i="2"/>
  <c r="G132" i="2" s="1"/>
  <c r="H167" i="2"/>
  <c r="H185" i="2"/>
  <c r="F201" i="2"/>
  <c r="H9" i="2"/>
  <c r="B71" i="2" a="1"/>
  <c r="B71" i="2" s="1"/>
  <c r="B117" i="2" a="1"/>
  <c r="F117" i="2" s="1"/>
  <c r="F116" i="2" s="1"/>
  <c r="H133" i="2"/>
  <c r="H132" i="2" s="1"/>
  <c r="G201" i="2"/>
  <c r="C165" i="2"/>
  <c r="C164" i="2" s="1"/>
  <c r="B199" i="2"/>
  <c r="D5" i="2"/>
  <c r="D4" i="2" s="1"/>
  <c r="B77" i="2" a="1"/>
  <c r="D77" i="2" s="1"/>
  <c r="B25" i="2" a="1"/>
  <c r="G25" i="2" s="1"/>
  <c r="B133" i="2"/>
  <c r="B132" i="2" s="1"/>
  <c r="B69" i="2" a="1"/>
  <c r="G69" i="2" s="1"/>
  <c r="G68" i="2" s="1"/>
  <c r="B75" i="2" a="1"/>
  <c r="G75" i="2" s="1"/>
  <c r="B141" i="2" a="1"/>
  <c r="B141" i="2" s="1"/>
  <c r="B171" i="2"/>
  <c r="H201" i="2"/>
  <c r="C11" i="2"/>
  <c r="D11" i="2"/>
  <c r="B53" i="2" a="1"/>
  <c r="B53" i="2" s="1"/>
  <c r="B52" i="2" s="1"/>
  <c r="C171" i="2"/>
  <c r="D183" i="2"/>
  <c r="D197" i="2"/>
  <c r="D196" i="2" s="1"/>
  <c r="D203" i="2"/>
  <c r="C175" i="2"/>
  <c r="B175" i="2"/>
  <c r="B91" i="2" a="1"/>
  <c r="B85" i="2" a="1"/>
  <c r="B93" i="2" a="1"/>
  <c r="B87" i="2" a="1"/>
  <c r="B95" i="2" a="1"/>
  <c r="H169" i="2"/>
  <c r="G169" i="2"/>
  <c r="E169" i="2"/>
  <c r="D169" i="2"/>
  <c r="C169" i="2"/>
  <c r="B169" i="2"/>
  <c r="F169" i="2"/>
  <c r="G181" i="2"/>
  <c r="G180" i="2" s="1"/>
  <c r="F181" i="2"/>
  <c r="F180" i="2" s="1"/>
  <c r="E181" i="2"/>
  <c r="E180" i="2" s="1"/>
  <c r="D181" i="2"/>
  <c r="D180" i="2" s="1"/>
  <c r="H181" i="2"/>
  <c r="H180" i="2" s="1"/>
  <c r="G7" i="2"/>
  <c r="H7" i="2"/>
  <c r="F7" i="2"/>
  <c r="E7" i="2"/>
  <c r="G187" i="2"/>
  <c r="F187" i="2"/>
  <c r="D187" i="2"/>
  <c r="E187" i="2"/>
  <c r="H187" i="2"/>
  <c r="E141" i="2"/>
  <c r="H59" i="2"/>
  <c r="F59" i="2"/>
  <c r="G59" i="2"/>
  <c r="B59" i="2"/>
  <c r="C59" i="2"/>
  <c r="E59" i="2"/>
  <c r="B7" i="2"/>
  <c r="B13" i="2"/>
  <c r="B155" i="2" a="1"/>
  <c r="B149" i="2" a="1"/>
  <c r="B157" i="2" a="1"/>
  <c r="B151" i="2" a="1"/>
  <c r="B159" i="2" a="1"/>
  <c r="C7" i="2"/>
  <c r="D45" i="2"/>
  <c r="C45" i="2"/>
  <c r="B45" i="2"/>
  <c r="E45" i="2"/>
  <c r="H45" i="2"/>
  <c r="C125" i="2"/>
  <c r="C181" i="2"/>
  <c r="C180" i="2" s="1"/>
  <c r="B187" i="2"/>
  <c r="G13" i="2"/>
  <c r="F13" i="2"/>
  <c r="E13" i="2"/>
  <c r="H13" i="2"/>
  <c r="D7" i="2"/>
  <c r="D13" i="2"/>
  <c r="H61" i="2"/>
  <c r="F61" i="2"/>
  <c r="G61" i="2"/>
  <c r="B61" i="2"/>
  <c r="E61" i="2"/>
  <c r="D103" i="2"/>
  <c r="C103" i="2"/>
  <c r="B103" i="2"/>
  <c r="E103" i="2"/>
  <c r="C187" i="2"/>
  <c r="H125" i="2"/>
  <c r="F125" i="2"/>
  <c r="G125" i="2"/>
  <c r="B125" i="2"/>
  <c r="B143" i="2"/>
  <c r="C143" i="2"/>
  <c r="H135" i="2"/>
  <c r="E135" i="2"/>
  <c r="D135" i="2"/>
  <c r="C135" i="2"/>
  <c r="G135" i="2"/>
  <c r="F135" i="2"/>
  <c r="B89" i="2" a="1"/>
  <c r="B135" i="2"/>
  <c r="D117" i="2"/>
  <c r="D116" i="2" s="1"/>
  <c r="B117" i="2"/>
  <c r="B116" i="2" s="1"/>
  <c r="C117" i="2"/>
  <c r="C116" i="2" s="1"/>
  <c r="B153" i="2" a="1"/>
  <c r="B79" i="2"/>
  <c r="C79" i="2"/>
  <c r="E125" i="2"/>
  <c r="G103" i="2"/>
  <c r="B57" i="2" a="1"/>
  <c r="B127" i="2" a="1"/>
  <c r="B39" i="2" a="1"/>
  <c r="B109" i="2" a="1"/>
  <c r="E197" i="2"/>
  <c r="E196" i="2" s="1"/>
  <c r="H5" i="2"/>
  <c r="H4" i="2" s="1"/>
  <c r="D9" i="2"/>
  <c r="H11" i="2"/>
  <c r="B37" i="2" a="1"/>
  <c r="B43" i="2" a="1"/>
  <c r="B101" i="2" a="1"/>
  <c r="B107" i="2" a="1"/>
  <c r="B165" i="2"/>
  <c r="B164" i="2" s="1"/>
  <c r="F167" i="2"/>
  <c r="F173" i="2"/>
  <c r="E201" i="2"/>
  <c r="B23" i="2" a="1"/>
  <c r="B29" i="2" a="1"/>
  <c r="G165" i="2"/>
  <c r="G164" i="2" s="1"/>
  <c r="B197" i="2"/>
  <c r="B196" i="2" s="1"/>
  <c r="F199" i="2"/>
  <c r="B203" i="2"/>
  <c r="B41" i="2" a="1"/>
  <c r="B47" i="2" a="1"/>
  <c r="B105" i="2" a="1"/>
  <c r="B111" i="2" a="1"/>
  <c r="B5" i="2"/>
  <c r="B11" i="2"/>
  <c r="B139" i="2" a="1"/>
  <c r="B185" i="2"/>
  <c r="C197" i="2"/>
  <c r="C196" i="2" s="1"/>
  <c r="C203" i="2"/>
  <c r="B167" i="2"/>
  <c r="B173" i="2"/>
  <c r="E203" i="2"/>
  <c r="E5" i="2"/>
  <c r="E4" i="2" s="1"/>
  <c r="B21" i="2" a="1"/>
  <c r="C167" i="2"/>
  <c r="C173" i="2"/>
  <c r="E185" i="2"/>
  <c r="F197" i="2"/>
  <c r="F196" i="2" s="1"/>
  <c r="B201" i="2"/>
  <c r="F203" i="2"/>
  <c r="E11" i="2"/>
  <c r="F5" i="2"/>
  <c r="F4" i="2" s="1"/>
  <c r="B9" i="2"/>
  <c r="F11" i="2"/>
  <c r="B15" i="2"/>
  <c r="E69" i="2"/>
  <c r="E68" i="2" s="1"/>
  <c r="B73" i="2" a="1"/>
  <c r="B137" i="2" a="1"/>
  <c r="D167" i="2"/>
  <c r="D173" i="2"/>
  <c r="B183" i="2"/>
  <c r="F185" i="2"/>
  <c r="G197" i="2"/>
  <c r="G196" i="2" s="1"/>
  <c r="C201" i="2"/>
  <c r="G203" i="2"/>
  <c r="B63" i="2" a="1"/>
  <c r="B121" i="2" a="1"/>
  <c r="B55" i="2" a="1"/>
  <c r="B119" i="2" a="1"/>
  <c r="G71" i="2" l="1"/>
  <c r="D71" i="2"/>
  <c r="E71" i="2"/>
  <c r="H71" i="2"/>
  <c r="F53" i="2"/>
  <c r="F52" i="2" s="1"/>
  <c r="F71" i="2"/>
  <c r="G53" i="2"/>
  <c r="G52" i="2" s="1"/>
  <c r="C71" i="2"/>
  <c r="F141" i="2"/>
  <c r="H117" i="2"/>
  <c r="H116" i="2" s="1"/>
  <c r="C123" i="2"/>
  <c r="C141" i="2"/>
  <c r="G117" i="2"/>
  <c r="G116" i="2" s="1"/>
  <c r="D141" i="2"/>
  <c r="C77" i="2"/>
  <c r="D53" i="2"/>
  <c r="D52" i="2" s="1"/>
  <c r="D133" i="2"/>
  <c r="D132" i="2" s="1"/>
  <c r="F27" i="2"/>
  <c r="B27" i="2"/>
  <c r="H27" i="2"/>
  <c r="E27" i="2"/>
  <c r="C27" i="2"/>
  <c r="F123" i="2"/>
  <c r="B123" i="2"/>
  <c r="D123" i="2"/>
  <c r="G123" i="2"/>
  <c r="H123" i="2"/>
  <c r="D27" i="2"/>
  <c r="H53" i="2"/>
  <c r="H52" i="2" s="1"/>
  <c r="B25" i="2"/>
  <c r="C31" i="2"/>
  <c r="E25" i="2"/>
  <c r="G141" i="2"/>
  <c r="E77" i="2"/>
  <c r="H77" i="2"/>
  <c r="E53" i="2"/>
  <c r="E52" i="2" s="1"/>
  <c r="F77" i="2"/>
  <c r="C25" i="2"/>
  <c r="H25" i="2"/>
  <c r="F25" i="2"/>
  <c r="F69" i="2"/>
  <c r="F68" i="2" s="1"/>
  <c r="H69" i="2"/>
  <c r="H68" i="2" s="1"/>
  <c r="C69" i="2"/>
  <c r="C68" i="2" s="1"/>
  <c r="B69" i="2"/>
  <c r="B68" i="2" s="1"/>
  <c r="D25" i="2"/>
  <c r="B77" i="2"/>
  <c r="E75" i="2"/>
  <c r="C75" i="2"/>
  <c r="B75" i="2"/>
  <c r="H75" i="2"/>
  <c r="F75" i="2"/>
  <c r="D75" i="2"/>
  <c r="E117" i="2"/>
  <c r="E116" i="2" s="1"/>
  <c r="C53" i="2"/>
  <c r="C52" i="2" s="1"/>
  <c r="H141" i="2"/>
  <c r="G77" i="2"/>
  <c r="D69" i="2"/>
  <c r="D68" i="2" s="1"/>
  <c r="C111" i="2"/>
  <c r="B111" i="2"/>
  <c r="C91" i="2"/>
  <c r="B91" i="2"/>
  <c r="H91" i="2"/>
  <c r="D91" i="2"/>
  <c r="E91" i="2"/>
  <c r="G91" i="2"/>
  <c r="F91" i="2"/>
  <c r="H101" i="2"/>
  <c r="H100" i="2" s="1"/>
  <c r="G101" i="2"/>
  <c r="G100" i="2" s="1"/>
  <c r="E101" i="2"/>
  <c r="E100" i="2" s="1"/>
  <c r="F101" i="2"/>
  <c r="F100" i="2" s="1"/>
  <c r="C101" i="2"/>
  <c r="C100" i="2" s="1"/>
  <c r="B101" i="2"/>
  <c r="B100" i="2" s="1"/>
  <c r="D101" i="2"/>
  <c r="D100" i="2" s="1"/>
  <c r="C63" i="2"/>
  <c r="B63" i="2"/>
  <c r="H107" i="2"/>
  <c r="G107" i="2"/>
  <c r="E107" i="2"/>
  <c r="F107" i="2"/>
  <c r="D107" i="2"/>
  <c r="C107" i="2"/>
  <c r="B107" i="2"/>
  <c r="H41" i="2"/>
  <c r="D41" i="2"/>
  <c r="G41" i="2"/>
  <c r="F41" i="2"/>
  <c r="C41" i="2"/>
  <c r="B41" i="2"/>
  <c r="E41" i="2"/>
  <c r="H43" i="2"/>
  <c r="G43" i="2"/>
  <c r="E43" i="2"/>
  <c r="F43" i="2"/>
  <c r="C43" i="2"/>
  <c r="B43" i="2"/>
  <c r="D43" i="2"/>
  <c r="E121" i="2"/>
  <c r="D121" i="2"/>
  <c r="C121" i="2"/>
  <c r="B121" i="2"/>
  <c r="F121" i="2"/>
  <c r="H121" i="2"/>
  <c r="G121" i="2"/>
  <c r="C21" i="2"/>
  <c r="C20" i="2" s="1"/>
  <c r="B21" i="2"/>
  <c r="B20" i="2" s="1"/>
  <c r="D21" i="2"/>
  <c r="D20" i="2" s="1"/>
  <c r="H21" i="2"/>
  <c r="H20" i="2" s="1"/>
  <c r="E21" i="2"/>
  <c r="E20" i="2" s="1"/>
  <c r="G21" i="2"/>
  <c r="G20" i="2" s="1"/>
  <c r="F21" i="2"/>
  <c r="F20" i="2" s="1"/>
  <c r="C127" i="2"/>
  <c r="B127" i="2"/>
  <c r="G37" i="2"/>
  <c r="G36" i="2" s="1"/>
  <c r="E37" i="2"/>
  <c r="E36" i="2" s="1"/>
  <c r="F37" i="2"/>
  <c r="F36" i="2" s="1"/>
  <c r="H37" i="2"/>
  <c r="H36" i="2" s="1"/>
  <c r="D37" i="2"/>
  <c r="D36" i="2" s="1"/>
  <c r="C37" i="2"/>
  <c r="C36" i="2" s="1"/>
  <c r="B37" i="2"/>
  <c r="B36" i="2" s="1"/>
  <c r="C159" i="2"/>
  <c r="B159" i="2"/>
  <c r="C85" i="2"/>
  <c r="C84" i="2" s="1"/>
  <c r="B85" i="2"/>
  <c r="B84" i="2" s="1"/>
  <c r="H85" i="2"/>
  <c r="H84" i="2" s="1"/>
  <c r="D85" i="2"/>
  <c r="D84" i="2" s="1"/>
  <c r="G85" i="2"/>
  <c r="G84" i="2" s="1"/>
  <c r="F85" i="2"/>
  <c r="F84" i="2" s="1"/>
  <c r="E85" i="2"/>
  <c r="E84" i="2" s="1"/>
  <c r="E57" i="2"/>
  <c r="D57" i="2"/>
  <c r="C57" i="2"/>
  <c r="F57" i="2"/>
  <c r="B57" i="2"/>
  <c r="H57" i="2"/>
  <c r="G57" i="2"/>
  <c r="G29" i="2"/>
  <c r="D29" i="2"/>
  <c r="F29" i="2"/>
  <c r="E29" i="2"/>
  <c r="B29" i="2"/>
  <c r="H29" i="2"/>
  <c r="C29" i="2"/>
  <c r="G151" i="2"/>
  <c r="F151" i="2"/>
  <c r="E151" i="2"/>
  <c r="D151" i="2"/>
  <c r="B151" i="2"/>
  <c r="H151" i="2"/>
  <c r="C151" i="2"/>
  <c r="H105" i="2"/>
  <c r="D105" i="2"/>
  <c r="G105" i="2"/>
  <c r="F105" i="2"/>
  <c r="E105" i="2"/>
  <c r="C105" i="2"/>
  <c r="B105" i="2"/>
  <c r="C47" i="2"/>
  <c r="B47" i="2"/>
  <c r="B137" i="2"/>
  <c r="G137" i="2"/>
  <c r="H137" i="2"/>
  <c r="C137" i="2"/>
  <c r="E137" i="2"/>
  <c r="D137" i="2"/>
  <c r="F137" i="2"/>
  <c r="F139" i="2"/>
  <c r="E139" i="2"/>
  <c r="D139" i="2"/>
  <c r="C139" i="2"/>
  <c r="G139" i="2"/>
  <c r="B139" i="2"/>
  <c r="H139" i="2"/>
  <c r="G23" i="2"/>
  <c r="C23" i="2"/>
  <c r="F23" i="2"/>
  <c r="E23" i="2"/>
  <c r="D23" i="2"/>
  <c r="B23" i="2"/>
  <c r="H23" i="2"/>
  <c r="G157" i="2"/>
  <c r="F157" i="2"/>
  <c r="E157" i="2"/>
  <c r="D157" i="2"/>
  <c r="B157" i="2"/>
  <c r="H157" i="2"/>
  <c r="C157" i="2"/>
  <c r="C95" i="2"/>
  <c r="B95" i="2"/>
  <c r="D109" i="2"/>
  <c r="C109" i="2"/>
  <c r="B109" i="2"/>
  <c r="E109" i="2"/>
  <c r="H109" i="2"/>
  <c r="G109" i="2"/>
  <c r="F109" i="2"/>
  <c r="H119" i="2"/>
  <c r="F119" i="2"/>
  <c r="G119" i="2"/>
  <c r="B119" i="2"/>
  <c r="C119" i="2"/>
  <c r="D119" i="2"/>
  <c r="E119" i="2"/>
  <c r="B73" i="2"/>
  <c r="G73" i="2"/>
  <c r="H73" i="2"/>
  <c r="C73" i="2"/>
  <c r="F73" i="2"/>
  <c r="E73" i="2"/>
  <c r="D73" i="2"/>
  <c r="F153" i="2"/>
  <c r="E153" i="2"/>
  <c r="D153" i="2"/>
  <c r="H153" i="2"/>
  <c r="G153" i="2"/>
  <c r="B153" i="2"/>
  <c r="C153" i="2"/>
  <c r="G89" i="2"/>
  <c r="F89" i="2"/>
  <c r="D89" i="2"/>
  <c r="E89" i="2"/>
  <c r="H89" i="2"/>
  <c r="C89" i="2"/>
  <c r="B89" i="2"/>
  <c r="C149" i="2"/>
  <c r="C148" i="2" s="1"/>
  <c r="B149" i="2"/>
  <c r="B148" i="2" s="1"/>
  <c r="H149" i="2"/>
  <c r="H148" i="2" s="1"/>
  <c r="D149" i="2"/>
  <c r="D148" i="2" s="1"/>
  <c r="G149" i="2"/>
  <c r="G148" i="2" s="1"/>
  <c r="F149" i="2"/>
  <c r="F148" i="2" s="1"/>
  <c r="E149" i="2"/>
  <c r="E148" i="2" s="1"/>
  <c r="G87" i="2"/>
  <c r="C87" i="2"/>
  <c r="F87" i="2"/>
  <c r="E87" i="2"/>
  <c r="B87" i="2"/>
  <c r="H87" i="2"/>
  <c r="D87" i="2"/>
  <c r="D39" i="2"/>
  <c r="C39" i="2"/>
  <c r="B39" i="2"/>
  <c r="E39" i="2"/>
  <c r="H39" i="2"/>
  <c r="G39" i="2"/>
  <c r="F39" i="2"/>
  <c r="H55" i="2"/>
  <c r="F55" i="2"/>
  <c r="G55" i="2"/>
  <c r="B55" i="2"/>
  <c r="D55" i="2"/>
  <c r="C55" i="2"/>
  <c r="E55" i="2"/>
  <c r="C155" i="2"/>
  <c r="B155" i="2"/>
  <c r="H155" i="2"/>
  <c r="D155" i="2"/>
  <c r="F155" i="2"/>
  <c r="G155" i="2"/>
  <c r="E155" i="2"/>
  <c r="G93" i="2"/>
  <c r="C93" i="2"/>
  <c r="F93" i="2"/>
  <c r="E93" i="2"/>
  <c r="B93" i="2"/>
  <c r="H93" i="2"/>
  <c r="D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24" authorId="0" shapeId="0" xr:uid="{C53E54C0-195C-49E6-9BE3-4A032B71A78C}">
      <text>
        <r>
          <rPr>
            <b/>
            <sz val="9"/>
            <color indexed="81"/>
            <rFont val="Tahoma"/>
            <family val="2"/>
          </rPr>
          <t xml:space="preserve">24/10
</t>
        </r>
        <r>
          <rPr>
            <sz val="9"/>
            <color indexed="81"/>
            <rFont val="Tahoma"/>
            <family val="2"/>
          </rPr>
          <t xml:space="preserve">
</t>
        </r>
      </text>
    </comment>
  </commentList>
</comments>
</file>

<file path=xl/sharedStrings.xml><?xml version="1.0" encoding="utf-8"?>
<sst xmlns="http://schemas.openxmlformats.org/spreadsheetml/2006/main" count="348" uniqueCount="194">
  <si>
    <t xml:space="preserve"> </t>
  </si>
  <si>
    <t>March</t>
  </si>
  <si>
    <t>WIS- Academic Calendar</t>
  </si>
  <si>
    <t>Monday</t>
  </si>
  <si>
    <t>Holi</t>
  </si>
  <si>
    <t>Second Saturday</t>
  </si>
  <si>
    <t>Ugadi</t>
  </si>
  <si>
    <t>Fourth Saturday / Eidul Fitar or Ramzan</t>
  </si>
  <si>
    <t>Following of Ramzan(Eid--ul-Fitr)</t>
  </si>
  <si>
    <t>Sri Rama Navami</t>
  </si>
  <si>
    <t>* Holiday and Vacation Dates are subject to change as per Government regulations</t>
  </si>
  <si>
    <t xml:space="preserve">WIS - Academic Calendar                                                                             </t>
  </si>
  <si>
    <t>Good Friday</t>
  </si>
  <si>
    <t xml:space="preserve"> Babu Jagjivan Ram's Birthday</t>
  </si>
  <si>
    <t>Dr B.R. Ambedkar's Birthday</t>
  </si>
  <si>
    <t>World Earth Day</t>
  </si>
  <si>
    <t>Fourth Saturday / Summer Vacation Starts</t>
  </si>
  <si>
    <t>May</t>
  </si>
  <si>
    <t>WIS - Academic Calendar</t>
  </si>
  <si>
    <r>
      <t xml:space="preserve"> </t>
    </r>
    <r>
      <rPr>
        <b/>
        <sz val="10"/>
        <color indexed="17"/>
        <rFont val="Candara"/>
        <family val="2"/>
      </rPr>
      <t>Budha Purnima</t>
    </r>
  </si>
  <si>
    <t xml:space="preserve"> National Technology Day &amp; Mother's Day</t>
  </si>
  <si>
    <t>Fourth Saturday</t>
  </si>
  <si>
    <t>Eidul Azah / Bakrid</t>
  </si>
  <si>
    <t>June</t>
  </si>
  <si>
    <t>WIS - Academic Calendar                                                             Theme of the Month - Embrace New Beginnings</t>
  </si>
  <si>
    <t>Telangana Formation Day</t>
  </si>
  <si>
    <t xml:space="preserve">School Reopens  </t>
  </si>
  <si>
    <t>Working Saturday</t>
  </si>
  <si>
    <t xml:space="preserve">Muharram </t>
  </si>
  <si>
    <t>Bagless Day</t>
  </si>
  <si>
    <t xml:space="preserve">* Holiday and Vacation Dates are subject to change as per Government regulations; any changes will be communicated in advance. </t>
  </si>
  <si>
    <t>July</t>
  </si>
  <si>
    <t>WIS - Academic Calendar                                                                         Theme of the Month - Unlock Your Potential</t>
  </si>
  <si>
    <t xml:space="preserve">Bagless Day </t>
  </si>
  <si>
    <t xml:space="preserve">Working Saturday </t>
  </si>
  <si>
    <t>Periodic Test - 1</t>
  </si>
  <si>
    <t xml:space="preserve">               </t>
  </si>
  <si>
    <t>* Holiday and Vacation Dates are subject to change as per Government regulations; any changes will be communicated in advance</t>
  </si>
  <si>
    <t>August</t>
  </si>
  <si>
    <t>WIS - Academic Calendar                                                               Theme of the Month - Conquer Every Challenge</t>
  </si>
  <si>
    <t>Open House - 1</t>
  </si>
  <si>
    <t>Bonalu</t>
  </si>
  <si>
    <t>Independence Day                  Bagless Day</t>
  </si>
  <si>
    <t>Eid Miladun Nabi</t>
  </si>
  <si>
    <t>September</t>
  </si>
  <si>
    <t>WIS - Academic Calendar                                                              Theme of the Month - Driven By Determination</t>
  </si>
  <si>
    <t>Krishnastami</t>
  </si>
  <si>
    <t>Acitivty Day  (Second Saturday)</t>
  </si>
  <si>
    <t>Vinayakachavithi</t>
  </si>
  <si>
    <t>*Holiday and Vacation Dates are subject to change as per Government regulations; any changes will be communicated in advance.                                                                                                                                                                                                                    *The second Saturday may be utilised for school activities involving parents; parents are requested to keep the day free</t>
  </si>
  <si>
    <t>October</t>
  </si>
  <si>
    <t>WIS - Academic Calendar                                                              Theme of the Month - Confidence In Action</t>
  </si>
  <si>
    <t>Half-Yearly Exams</t>
  </si>
  <si>
    <t xml:space="preserve">Mahatma Gandhi Jayanthi </t>
  </si>
  <si>
    <t xml:space="preserve"> Second Saturday</t>
  </si>
  <si>
    <t>Bathukamma Starting Day</t>
  </si>
  <si>
    <t>Dussehra vacation</t>
  </si>
  <si>
    <t>Durrgastami</t>
  </si>
  <si>
    <t>Vijaya Dasami</t>
  </si>
  <si>
    <t>School Reopnes</t>
  </si>
  <si>
    <t xml:space="preserve">United Nations Day </t>
  </si>
  <si>
    <t>Open House - 2</t>
  </si>
  <si>
    <t>* Holiday and vacation dates are subject to change as per Government regulations; any changes will be communicated in advance</t>
  </si>
  <si>
    <t>November</t>
  </si>
  <si>
    <t>WIS - Academic Calendar                                                            Theme of the Month - Attitude Of Gratitude</t>
  </si>
  <si>
    <t xml:space="preserve">     </t>
  </si>
  <si>
    <t>Diwali</t>
  </si>
  <si>
    <t>Guru Nanak Jayanthi / Karthika Punima</t>
  </si>
  <si>
    <t>December</t>
  </si>
  <si>
    <t>WIS - Academic Calendar                                                                  Theme of the Month - Create With Courage</t>
  </si>
  <si>
    <t>Periodic Test - 2</t>
  </si>
  <si>
    <t>Christmas</t>
  </si>
  <si>
    <t>Boxing Day / Fourth Saturday</t>
  </si>
  <si>
    <t>* Holiday and Vacation Dates are subject to change as per Government regulations; any changes will be communicated in advance.                                                                                                                                                                                                               *The second Saturday may be utilised for school activities involving parents; parents are requested to keep the day free</t>
  </si>
  <si>
    <t>January</t>
  </si>
  <si>
    <t>WIS - Academic Calendar                                                              Theme of the Month - Lead With Purpose</t>
  </si>
  <si>
    <t>New Year's Eve</t>
  </si>
  <si>
    <t xml:space="preserve">Second Saturday- </t>
  </si>
  <si>
    <t xml:space="preserve">Pongal </t>
  </si>
  <si>
    <t>Makar Sankranthi</t>
  </si>
  <si>
    <t>School Reopens</t>
  </si>
  <si>
    <t>Open House - 3</t>
  </si>
  <si>
    <t>Republic Day --  Bagless Day</t>
  </si>
  <si>
    <t>February</t>
  </si>
  <si>
    <t>WIS - Academic Calendar                                                              Theme of the Month - Pursue Excellence</t>
  </si>
  <si>
    <t xml:space="preserve">Fourth Saturday </t>
  </si>
  <si>
    <t>WIS - Academic Calendar                                                            Theme of the Month - Focus and Fearless</t>
  </si>
  <si>
    <t>Maha Shivaratri</t>
  </si>
  <si>
    <t>Annual Exams</t>
  </si>
  <si>
    <t>Short Break</t>
  </si>
  <si>
    <t>Holi / Short Break</t>
  </si>
  <si>
    <t>Open House - 4</t>
  </si>
  <si>
    <t>Idul Fitr</t>
  </si>
  <si>
    <t>Overview of AY 2026-2027</t>
  </si>
  <si>
    <t xml:space="preserve">Theme </t>
  </si>
  <si>
    <t>Embrace New Beginnings</t>
  </si>
  <si>
    <t>Unlock Your Potential</t>
  </si>
  <si>
    <t>Conquer Every Challenge</t>
  </si>
  <si>
    <t>Driven By Determination</t>
  </si>
  <si>
    <t>Confidence In Action</t>
  </si>
  <si>
    <t>Attitude Of Gratitude</t>
  </si>
  <si>
    <t>Reflect And Renew</t>
  </si>
  <si>
    <t>Lead With Purpose</t>
  </si>
  <si>
    <t>Pursue Excellence</t>
  </si>
  <si>
    <t>Focused And Fearless</t>
  </si>
  <si>
    <t>Father's Day</t>
  </si>
  <si>
    <t xml:space="preserve">Half-Yearly </t>
  </si>
  <si>
    <t>International Yoga Day</t>
  </si>
  <si>
    <t>Children's Day</t>
  </si>
  <si>
    <t>Science Fair</t>
  </si>
  <si>
    <t>Parents Orientation</t>
  </si>
  <si>
    <t>WIS Talent Show</t>
  </si>
  <si>
    <t>Kaushal Mela</t>
  </si>
  <si>
    <t>Class Photograph</t>
  </si>
  <si>
    <t>Staff Picnic</t>
  </si>
  <si>
    <t>Read To Lead Launch</t>
  </si>
  <si>
    <t>WIS-IGNITE - 2</t>
  </si>
  <si>
    <t>WIS-IGNITE - 1</t>
  </si>
  <si>
    <t>WIS-IGNITE Launch - 1</t>
  </si>
  <si>
    <t>Launch of GenOrators</t>
  </si>
  <si>
    <t>Independence Day</t>
  </si>
  <si>
    <t>Sports Day</t>
  </si>
  <si>
    <t>Celebrate</t>
  </si>
  <si>
    <t>Swami Vivekananda</t>
  </si>
  <si>
    <t>Chandrashekar Azad</t>
  </si>
  <si>
    <t>Bal Gangadhar Tilak</t>
  </si>
  <si>
    <t>Sarvepalli Radhakrishnan</t>
  </si>
  <si>
    <t>Mangal Pandey</t>
  </si>
  <si>
    <t>Bhagat Singh</t>
  </si>
  <si>
    <t>Subhas Chandra Bose</t>
  </si>
  <si>
    <t>Dr. B. R. Ambedkar</t>
  </si>
  <si>
    <t>1 Week Reading Challenge</t>
  </si>
  <si>
    <t>Rani Lakshmi Bhai</t>
  </si>
  <si>
    <t xml:space="preserve"> Life of Mahatma Gandhi </t>
  </si>
  <si>
    <t>Jawarharlal Nehru</t>
  </si>
  <si>
    <t>Life of Smt Sarojini Naidu</t>
  </si>
  <si>
    <t>Field Trip-1</t>
  </si>
  <si>
    <t>Student Health Check-1</t>
  </si>
  <si>
    <t>Field Trip-2</t>
  </si>
  <si>
    <t>Community Service Trip</t>
  </si>
  <si>
    <t>Field Trip-3</t>
  </si>
  <si>
    <t>Student Health Check-2</t>
  </si>
  <si>
    <t xml:space="preserve">Working Days </t>
  </si>
  <si>
    <t>S. No</t>
  </si>
  <si>
    <t>Month</t>
  </si>
  <si>
    <t>Teaching Days</t>
  </si>
  <si>
    <t>Bagless Days</t>
  </si>
  <si>
    <t>Assessments</t>
  </si>
  <si>
    <t>Total</t>
  </si>
  <si>
    <t>April</t>
  </si>
  <si>
    <t>Tuesday</t>
  </si>
  <si>
    <t>Thursday</t>
  </si>
  <si>
    <t>Saturday</t>
  </si>
  <si>
    <t>Eidul Fitar or Ramzan</t>
  </si>
  <si>
    <t>Sunday</t>
  </si>
  <si>
    <t>27-02-206</t>
  </si>
  <si>
    <t>Friday</t>
  </si>
  <si>
    <t xml:space="preserve">Babu Jagjivan Ram's Birthday </t>
  </si>
  <si>
    <t>May Day</t>
  </si>
  <si>
    <t>Wedneday</t>
  </si>
  <si>
    <t>Muharram</t>
  </si>
  <si>
    <t>Wednesday</t>
  </si>
  <si>
    <t xml:space="preserve"> Eid Miladun Nabi</t>
  </si>
  <si>
    <t xml:space="preserve"> Raksha Bandhan</t>
  </si>
  <si>
    <t>Mahatma Gandhi Jayanthi</t>
  </si>
  <si>
    <t>10-10-2026 to 21-10-2026</t>
  </si>
  <si>
    <t>Dasara Vacation</t>
  </si>
  <si>
    <t xml:space="preserve">Diwali </t>
  </si>
  <si>
    <t>Karthika Punima/ Guru Nanak Jayanthi</t>
  </si>
  <si>
    <t xml:space="preserve">Christmas </t>
  </si>
  <si>
    <t>Boxing Day</t>
  </si>
  <si>
    <t>13-01-2027 to 17-01-2027</t>
  </si>
  <si>
    <t>Pongal Vacation</t>
  </si>
  <si>
    <t>No Holidays</t>
  </si>
  <si>
    <t xml:space="preserve">Shivaratri </t>
  </si>
  <si>
    <t>Theme</t>
  </si>
  <si>
    <t>Tagline</t>
  </si>
  <si>
    <t>Theme of the Year - Curiosity Meets Confidence</t>
  </si>
  <si>
    <t>“Wonder Deeply. Act Confidently.”</t>
  </si>
  <si>
    <t>"New Start. New Energy. New Possibilities.”</t>
  </si>
  <si>
    <t>Unlock your Potential</t>
  </si>
  <si>
    <t>“Discover Within. Grow Beyond.”</t>
  </si>
  <si>
    <t>WIS - Read to Lead – Library Program</t>
  </si>
  <si>
    <t>“Courage Over Comfort.”</t>
  </si>
  <si>
    <t>GenOrators</t>
  </si>
  <si>
    <t>“Consistency Creates Confidence.”</t>
  </si>
  <si>
    <t>The Next Generation of Speakers</t>
  </si>
  <si>
    <t>“Think Boldly. Lead Bravely.”</t>
  </si>
  <si>
    <t xml:space="preserve">WIS – IGNITE – Life Skill Program </t>
  </si>
  <si>
    <t>“Gratitude Builds Greatness.”</t>
  </si>
  <si>
    <t>“Reflect. Recharge. Rise Again.”</t>
  </si>
  <si>
    <t>“Purpose Drives Progress.”</t>
  </si>
  <si>
    <t>“Excellence Is a Habit.”</t>
  </si>
  <si>
    <t>“Finish Strong. Step Forward Fearlessly.”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</si>
</sst>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64" x14ac:knownFonts="1">
    <font>
      <sz val="11"/>
      <color theme="1"/>
      <name val="Calibri"/>
      <family val="2"/>
      <scheme val="minor"/>
    </font>
    <font>
      <sz val="11"/>
      <color theme="1"/>
      <name val="Calibri"/>
      <family val="2"/>
      <scheme val="minor"/>
    </font>
    <font>
      <sz val="11"/>
      <name val="Calibri"/>
      <family val="2"/>
      <scheme val="minor"/>
    </font>
    <font>
      <b/>
      <sz val="11"/>
      <color theme="1" tint="0.14999847407452621"/>
      <name val="Candara"/>
      <family val="2"/>
    </font>
    <font>
      <b/>
      <sz val="28"/>
      <color theme="0"/>
      <name val="Calibri Light"/>
      <family val="2"/>
      <scheme val="major"/>
    </font>
    <font>
      <b/>
      <sz val="42"/>
      <color theme="0"/>
      <name val="Candara"/>
      <family val="2"/>
    </font>
    <font>
      <sz val="36"/>
      <color theme="4" tint="-0.24994659260841701"/>
      <name val="Calibri"/>
      <family val="2"/>
      <scheme val="minor"/>
    </font>
    <font>
      <b/>
      <sz val="16"/>
      <color indexed="9"/>
      <name val="Candara"/>
      <family val="2"/>
    </font>
    <font>
      <b/>
      <sz val="12"/>
      <color theme="1" tint="0.14999847407452621"/>
      <name val="Candara"/>
      <family val="2"/>
    </font>
    <font>
      <b/>
      <sz val="11"/>
      <color theme="0"/>
      <name val="Calibri Light"/>
      <family val="2"/>
      <scheme val="major"/>
    </font>
    <font>
      <b/>
      <sz val="12"/>
      <color theme="8" tint="-0.499984740745262"/>
      <name val="Candara"/>
      <family val="2"/>
    </font>
    <font>
      <sz val="16"/>
      <color theme="1"/>
      <name val="Calibri"/>
      <family val="2"/>
      <scheme val="minor"/>
    </font>
    <font>
      <sz val="16"/>
      <color theme="1" tint="0.14999847407452621"/>
      <name val="Candara"/>
      <family val="2"/>
    </font>
    <font>
      <sz val="16"/>
      <color rgb="FFFF0000"/>
      <name val="Candara"/>
      <family val="2"/>
    </font>
    <font>
      <b/>
      <sz val="16"/>
      <color theme="1" tint="0.14999847407452621"/>
      <name val="Candara"/>
      <family val="2"/>
    </font>
    <font>
      <b/>
      <sz val="16"/>
      <color rgb="FFFF0000"/>
      <name val="Candara"/>
      <family val="2"/>
    </font>
    <font>
      <b/>
      <sz val="10"/>
      <color theme="1" tint="0.14999847407452621"/>
      <name val="Candara"/>
      <family val="2"/>
    </font>
    <font>
      <sz val="11"/>
      <color theme="1"/>
      <name val="Calibri Light"/>
      <family val="2"/>
      <scheme val="major"/>
    </font>
    <font>
      <sz val="10"/>
      <color theme="1" tint="0.14999847407452621"/>
      <name val="Candara"/>
      <family val="2"/>
    </font>
    <font>
      <sz val="10"/>
      <color rgb="FFFF0000"/>
      <name val="Candara"/>
      <family val="2"/>
    </font>
    <font>
      <b/>
      <sz val="10"/>
      <color rgb="FFFF0000"/>
      <name val="Candara"/>
      <family val="2"/>
    </font>
    <font>
      <b/>
      <sz val="11"/>
      <color theme="1"/>
      <name val="Candara"/>
      <family val="2"/>
    </font>
    <font>
      <b/>
      <sz val="16"/>
      <color theme="1"/>
      <name val="Candara"/>
      <family val="2"/>
    </font>
    <font>
      <b/>
      <sz val="10"/>
      <color rgb="FF00B050"/>
      <name val="Candara"/>
      <family val="2"/>
    </font>
    <font>
      <b/>
      <sz val="10"/>
      <color rgb="FF00B0F0"/>
      <name val="Candara"/>
      <family val="2"/>
    </font>
    <font>
      <b/>
      <sz val="18"/>
      <color indexed="9"/>
      <name val="Candara"/>
      <family val="2"/>
    </font>
    <font>
      <b/>
      <sz val="16"/>
      <name val="Candara"/>
      <family val="2"/>
    </font>
    <font>
      <b/>
      <sz val="10"/>
      <name val="Candara"/>
      <family val="2"/>
    </font>
    <font>
      <b/>
      <sz val="11"/>
      <color rgb="FFFF0000"/>
      <name val="Candara"/>
      <family val="2"/>
    </font>
    <font>
      <b/>
      <sz val="11"/>
      <color rgb="FF00B0F0"/>
      <name val="Candara"/>
      <family val="2"/>
    </font>
    <font>
      <b/>
      <sz val="10"/>
      <color indexed="17"/>
      <name val="Candara"/>
      <family val="2"/>
    </font>
    <font>
      <b/>
      <sz val="14"/>
      <color theme="1" tint="0.14999847407452621"/>
      <name val="Candara"/>
      <family val="2"/>
    </font>
    <font>
      <b/>
      <sz val="8"/>
      <color rgb="FF00B050"/>
      <name val="Candara"/>
      <family val="2"/>
    </font>
    <font>
      <b/>
      <sz val="16"/>
      <color theme="0"/>
      <name val="Candara"/>
      <family val="2"/>
    </font>
    <font>
      <b/>
      <sz val="8"/>
      <color indexed="17"/>
      <name val="Candara"/>
      <family val="2"/>
    </font>
    <font>
      <b/>
      <sz val="10"/>
      <color indexed="10"/>
      <name val="Candara"/>
      <family val="2"/>
    </font>
    <font>
      <b/>
      <sz val="10"/>
      <color theme="9" tint="-0.249977111117893"/>
      <name val="Candara"/>
      <family val="2"/>
    </font>
    <font>
      <b/>
      <sz val="37"/>
      <color theme="0"/>
      <name val="Candara"/>
      <family val="2"/>
    </font>
    <font>
      <b/>
      <sz val="38"/>
      <color theme="0"/>
      <name val="Candara"/>
      <family val="2"/>
    </font>
    <font>
      <b/>
      <sz val="40"/>
      <color theme="0"/>
      <name val="Candara"/>
      <family val="2"/>
    </font>
    <font>
      <b/>
      <sz val="10"/>
      <color indexed="63"/>
      <name val="Candara"/>
      <family val="2"/>
    </font>
    <font>
      <b/>
      <sz val="36"/>
      <color theme="0"/>
      <name val="Candara"/>
      <family val="2"/>
    </font>
    <font>
      <b/>
      <sz val="16"/>
      <color rgb="FF00B050"/>
      <name val="Candara"/>
      <family val="2"/>
    </font>
    <font>
      <b/>
      <sz val="9"/>
      <color rgb="FF00B050"/>
      <name val="Candara"/>
      <family val="2"/>
    </font>
    <font>
      <sz val="10"/>
      <color rgb="FF00B050"/>
      <name val="Candara"/>
      <family val="2"/>
    </font>
    <font>
      <sz val="10"/>
      <color indexed="10"/>
      <name val="Candara"/>
      <family val="2"/>
    </font>
    <font>
      <b/>
      <sz val="9"/>
      <color indexed="81"/>
      <name val="Tahoma"/>
      <family val="2"/>
    </font>
    <font>
      <sz val="9"/>
      <color indexed="81"/>
      <name val="Tahoma"/>
      <family val="2"/>
    </font>
    <font>
      <sz val="11"/>
      <name val="Candara"/>
      <family val="2"/>
    </font>
    <font>
      <b/>
      <sz val="13"/>
      <color rgb="FF00B050"/>
      <name val="Candara"/>
      <family val="2"/>
    </font>
    <font>
      <b/>
      <sz val="11"/>
      <color rgb="FF00B050"/>
      <name val="Candara"/>
      <family val="2"/>
    </font>
    <font>
      <sz val="12"/>
      <color rgb="FF000000"/>
      <name val="Candara"/>
      <family val="2"/>
    </font>
    <font>
      <b/>
      <sz val="11"/>
      <name val="Calibri"/>
      <family val="2"/>
      <scheme val="minor"/>
    </font>
    <font>
      <b/>
      <sz val="11"/>
      <color theme="4"/>
      <name val="Calibri"/>
      <family val="2"/>
      <scheme val="minor"/>
    </font>
    <font>
      <sz val="12"/>
      <name val="Candara"/>
      <family val="2"/>
    </font>
    <font>
      <b/>
      <sz val="12"/>
      <color theme="1"/>
      <name val="Candara"/>
      <family val="2"/>
    </font>
    <font>
      <b/>
      <i/>
      <sz val="12"/>
      <color rgb="FF000000"/>
      <name val="Aptos Narrow"/>
      <family val="2"/>
    </font>
    <font>
      <b/>
      <sz val="12"/>
      <color rgb="FF000000"/>
      <name val="Aptos Narrow"/>
      <family val="2"/>
    </font>
    <font>
      <i/>
      <sz val="11"/>
      <name val="Calibri"/>
      <family val="2"/>
      <scheme val="minor"/>
    </font>
    <font>
      <i/>
      <sz val="12"/>
      <color rgb="FF000000"/>
      <name val="Aptos Narrow"/>
      <family val="2"/>
    </font>
    <font>
      <sz val="12"/>
      <color rgb="FF000000"/>
      <name val="Aptos Narrow"/>
      <family val="2"/>
    </font>
    <font>
      <sz val="12"/>
      <name val="Aptos"/>
      <family val="2"/>
    </font>
    <font>
      <b/>
      <sz val="12"/>
      <name val="Aptos"/>
      <family val="2"/>
    </font>
    <font>
      <i/>
      <sz val="12"/>
      <name val="Aptos"/>
      <family val="2"/>
    </font>
  </fonts>
  <fills count="14">
    <fill>
      <patternFill patternType="none"/>
    </fill>
    <fill>
      <patternFill patternType="gray125"/>
    </fill>
    <fill>
      <patternFill patternType="solid">
        <fgColor indexed="9"/>
        <bgColor indexed="64"/>
      </patternFill>
    </fill>
    <fill>
      <patternFill patternType="solid">
        <fgColor theme="4" tint="-0.24994659260841701"/>
        <bgColor indexed="64"/>
      </patternFill>
    </fill>
    <fill>
      <patternFill patternType="solid">
        <fgColor rgb="FF002060"/>
        <bgColor indexed="64"/>
      </patternFill>
    </fill>
    <fill>
      <patternFill patternType="solid">
        <fgColor theme="7"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AE2D5"/>
        <bgColor indexed="64"/>
      </patternFill>
    </fill>
  </fills>
  <borders count="126">
    <border>
      <left/>
      <right/>
      <top/>
      <bottom/>
      <diagonal/>
    </border>
    <border>
      <left style="thin">
        <color rgb="FF00B0F0"/>
      </left>
      <right/>
      <top style="thin">
        <color rgb="FF00B0F0"/>
      </top>
      <bottom style="thin">
        <color rgb="FFB4C6E7"/>
      </bottom>
      <diagonal/>
    </border>
    <border>
      <left/>
      <right/>
      <top style="thin">
        <color rgb="FF00B0F0"/>
      </top>
      <bottom style="thin">
        <color rgb="FFB4C6E7"/>
      </bottom>
      <diagonal/>
    </border>
    <border>
      <left/>
      <right style="thin">
        <color rgb="FF00B0F0"/>
      </right>
      <top style="thin">
        <color rgb="FF00B0F0"/>
      </top>
      <bottom style="thin">
        <color rgb="FFB4C6E7"/>
      </bottom>
      <diagonal/>
    </border>
    <border>
      <left style="thin">
        <color rgb="FF00B0F0"/>
      </left>
      <right/>
      <top/>
      <bottom/>
      <diagonal/>
    </border>
    <border>
      <left/>
      <right style="thin">
        <color rgb="FF00B0F0"/>
      </right>
      <top/>
      <bottom/>
      <diagonal/>
    </border>
    <border>
      <left/>
      <right style="thick">
        <color theme="0"/>
      </right>
      <top/>
      <bottom/>
      <diagonal/>
    </border>
    <border>
      <left style="thin">
        <color rgb="FF00B0F0"/>
      </left>
      <right style="thin">
        <color theme="0"/>
      </right>
      <top/>
      <bottom/>
      <diagonal/>
    </border>
    <border>
      <left style="thin">
        <color theme="0"/>
      </left>
      <right style="thin">
        <color theme="0"/>
      </right>
      <top/>
      <bottom/>
      <diagonal/>
    </border>
    <border>
      <left style="thin">
        <color theme="0"/>
      </left>
      <right style="thin">
        <color rgb="FF00B0F0"/>
      </right>
      <top/>
      <bottom/>
      <diagonal/>
    </border>
    <border>
      <left/>
      <right style="thin">
        <color theme="0" tint="-0.14993743705557422"/>
      </right>
      <top style="thin">
        <color theme="0" tint="-0.14996795556505021"/>
      </top>
      <bottom/>
      <diagonal/>
    </border>
    <border>
      <left style="thin">
        <color rgb="FF00B0F0"/>
      </left>
      <right style="thin">
        <color theme="8" tint="0.79998168889431442"/>
      </right>
      <top/>
      <bottom/>
      <diagonal/>
    </border>
    <border>
      <left style="thin">
        <color theme="8" tint="0.79998168889431442"/>
      </left>
      <right style="thin">
        <color theme="8" tint="0.79995117038483843"/>
      </right>
      <top/>
      <bottom/>
      <diagonal/>
    </border>
    <border>
      <left style="thin">
        <color theme="8" tint="0.79995117038483843"/>
      </left>
      <right style="thin">
        <color theme="8" tint="0.79992065187536243"/>
      </right>
      <top/>
      <bottom/>
      <diagonal/>
    </border>
    <border>
      <left style="thin">
        <color theme="8" tint="0.79992065187536243"/>
      </left>
      <right style="thin">
        <color theme="8" tint="0.79989013336588644"/>
      </right>
      <top/>
      <bottom/>
      <diagonal/>
    </border>
    <border>
      <left style="thin">
        <color theme="8" tint="0.79989013336588644"/>
      </left>
      <right style="thin">
        <color theme="8" tint="0.79985961485641044"/>
      </right>
      <top/>
      <bottom/>
      <diagonal/>
    </border>
    <border>
      <left style="thin">
        <color theme="8" tint="0.79985961485641044"/>
      </left>
      <right style="thin">
        <color theme="8" tint="0.79982909634693444"/>
      </right>
      <top/>
      <bottom/>
      <diagonal/>
    </border>
    <border>
      <left/>
      <right style="thin">
        <color theme="0" tint="-0.14996795556505021"/>
      </right>
      <top/>
      <bottom/>
      <diagonal/>
    </border>
    <border>
      <left style="thin">
        <color rgb="FF00B0F0"/>
      </left>
      <right style="thin">
        <color theme="8" tint="0.79998168889431442"/>
      </right>
      <top/>
      <bottom style="thin">
        <color theme="8" tint="0.79998168889431442"/>
      </bottom>
      <diagonal/>
    </border>
    <border>
      <left style="thin">
        <color theme="8" tint="0.79998168889431442"/>
      </left>
      <right style="thin">
        <color theme="8" tint="0.79995117038483843"/>
      </right>
      <top/>
      <bottom style="thin">
        <color theme="8" tint="0.79998168889431442"/>
      </bottom>
      <diagonal/>
    </border>
    <border>
      <left style="thin">
        <color theme="8" tint="0.79995117038483843"/>
      </left>
      <right style="thin">
        <color theme="8" tint="0.79992065187536243"/>
      </right>
      <top/>
      <bottom style="thin">
        <color theme="8" tint="0.79998168889431442"/>
      </bottom>
      <diagonal/>
    </border>
    <border>
      <left style="thin">
        <color theme="8" tint="0.79992065187536243"/>
      </left>
      <right style="thin">
        <color theme="8" tint="0.79989013336588644"/>
      </right>
      <top/>
      <bottom style="thin">
        <color theme="8" tint="0.79998168889431442"/>
      </bottom>
      <diagonal/>
    </border>
    <border>
      <left style="thin">
        <color theme="8" tint="0.79989013336588644"/>
      </left>
      <right style="thin">
        <color theme="8" tint="0.79985961485641044"/>
      </right>
      <top/>
      <bottom style="thin">
        <color theme="8" tint="0.79998168889431442"/>
      </bottom>
      <diagonal/>
    </border>
    <border>
      <left style="thin">
        <color theme="8" tint="0.79985961485641044"/>
      </left>
      <right style="thin">
        <color theme="8" tint="0.79982909634693444"/>
      </right>
      <top/>
      <bottom style="thin">
        <color theme="8" tint="0.79998168889431442"/>
      </bottom>
      <diagonal/>
    </border>
    <border>
      <left/>
      <right style="thin">
        <color rgb="FF00B0F0"/>
      </right>
      <top/>
      <bottom style="thin">
        <color theme="8" tint="0.79998168889431442"/>
      </bottom>
      <diagonal/>
    </border>
    <border>
      <left style="thin">
        <color rgb="FF00B0F0"/>
      </left>
      <right style="thin">
        <color theme="8" tint="0.79998168889431442"/>
      </right>
      <top style="thin">
        <color theme="8" tint="0.79998168889431442"/>
      </top>
      <bottom/>
      <diagonal/>
    </border>
    <border>
      <left style="thin">
        <color theme="8" tint="0.79998168889431442"/>
      </left>
      <right style="thin">
        <color theme="8" tint="0.79995117038483843"/>
      </right>
      <top style="thin">
        <color theme="8" tint="0.79998168889431442"/>
      </top>
      <bottom/>
      <diagonal/>
    </border>
    <border>
      <left style="thin">
        <color theme="8" tint="0.79995117038483843"/>
      </left>
      <right style="thin">
        <color theme="8" tint="0.79992065187536243"/>
      </right>
      <top style="thin">
        <color theme="8" tint="0.79998168889431442"/>
      </top>
      <bottom/>
      <diagonal/>
    </border>
    <border>
      <left style="thin">
        <color theme="8" tint="0.79992065187536243"/>
      </left>
      <right style="thin">
        <color theme="8" tint="0.79989013336588644"/>
      </right>
      <top style="thin">
        <color theme="8" tint="0.79998168889431442"/>
      </top>
      <bottom/>
      <diagonal/>
    </border>
    <border>
      <left style="thin">
        <color theme="8" tint="0.79989013336588644"/>
      </left>
      <right style="thin">
        <color theme="8" tint="0.79985961485641044"/>
      </right>
      <top style="thin">
        <color theme="8" tint="0.79998168889431442"/>
      </top>
      <bottom/>
      <diagonal/>
    </border>
    <border>
      <left style="thin">
        <color theme="8" tint="0.79985961485641044"/>
      </left>
      <right style="thin">
        <color theme="8" tint="0.79982909634693444"/>
      </right>
      <top style="thin">
        <color theme="8" tint="0.79998168889431442"/>
      </top>
      <bottom/>
      <diagonal/>
    </border>
    <border>
      <left/>
      <right style="thin">
        <color rgb="FF00B0F0"/>
      </right>
      <top style="thin">
        <color theme="8" tint="0.79998168889431442"/>
      </top>
      <bottom/>
      <diagonal/>
    </border>
    <border>
      <left style="thin">
        <color rgb="FF00B0F0"/>
      </left>
      <right style="thin">
        <color theme="8" tint="0.79985961485641044"/>
      </right>
      <top/>
      <bottom style="thin">
        <color theme="8" tint="0.79998168889431442"/>
      </bottom>
      <diagonal/>
    </border>
    <border>
      <left style="thin">
        <color theme="8" tint="0.79989013336588644"/>
      </left>
      <right style="thin">
        <color theme="8" tint="0.79985961485641044"/>
      </right>
      <top/>
      <bottom style="thin">
        <color theme="8" tint="0.79992065187536243"/>
      </bottom>
      <diagonal/>
    </border>
    <border>
      <left style="thin">
        <color theme="8" tint="0.79992065187536243"/>
      </left>
      <right style="thin">
        <color theme="8" tint="0.79989013336588644"/>
      </right>
      <top/>
      <bottom style="thin">
        <color theme="8" tint="0.79995117038483843"/>
      </bottom>
      <diagonal/>
    </border>
    <border>
      <left style="thin">
        <color rgb="FF00B0F0"/>
      </left>
      <right style="thin">
        <color theme="8" tint="0.79998168889431442"/>
      </right>
      <top style="thin">
        <color theme="8" tint="0.79995117038483843"/>
      </top>
      <bottom/>
      <diagonal/>
    </border>
    <border>
      <left style="thin">
        <color theme="8" tint="0.79998168889431442"/>
      </left>
      <right style="thin">
        <color theme="8" tint="0.79995117038483843"/>
      </right>
      <top style="thin">
        <color theme="8" tint="0.79995117038483843"/>
      </top>
      <bottom/>
      <diagonal/>
    </border>
    <border>
      <left style="thin">
        <color theme="8" tint="0.79995117038483843"/>
      </left>
      <right style="thin">
        <color theme="8" tint="0.79992065187536243"/>
      </right>
      <top style="thin">
        <color theme="8" tint="0.79995117038483843"/>
      </top>
      <bottom/>
      <diagonal/>
    </border>
    <border>
      <left style="thin">
        <color theme="8" tint="0.79992065187536243"/>
      </left>
      <right style="thin">
        <color theme="8" tint="0.79989013336588644"/>
      </right>
      <top style="thin">
        <color theme="8" tint="0.79995117038483843"/>
      </top>
      <bottom/>
      <diagonal/>
    </border>
    <border>
      <left style="thin">
        <color theme="8" tint="0.79989013336588644"/>
      </left>
      <right style="thin">
        <color theme="8" tint="0.79985961485641044"/>
      </right>
      <top style="thin">
        <color theme="8" tint="0.79995117038483843"/>
      </top>
      <bottom/>
      <diagonal/>
    </border>
    <border>
      <left style="thin">
        <color theme="8" tint="0.79985961485641044"/>
      </left>
      <right style="thin">
        <color theme="8" tint="0.79982909634693444"/>
      </right>
      <top style="thin">
        <color theme="8" tint="0.79995117038483843"/>
      </top>
      <bottom/>
      <diagonal/>
    </border>
    <border>
      <left/>
      <right style="thin">
        <color rgb="FF00B0F0"/>
      </right>
      <top style="thin">
        <color theme="8" tint="0.79995117038483843"/>
      </top>
      <bottom/>
      <diagonal/>
    </border>
    <border>
      <left style="thin">
        <color theme="8" tint="0.79998168889431442"/>
      </left>
      <right style="thin">
        <color theme="8" tint="0.79995117038483843"/>
      </right>
      <top/>
      <bottom style="thin">
        <color theme="8" tint="0.79992065187536243"/>
      </bottom>
      <diagonal/>
    </border>
    <border>
      <left/>
      <right style="thin">
        <color rgb="FF00B0F0"/>
      </right>
      <top/>
      <bottom style="thin">
        <color theme="8" tint="0.79992065187536243"/>
      </bottom>
      <diagonal/>
    </border>
    <border>
      <left style="thin">
        <color rgb="FF00B0F0"/>
      </left>
      <right style="thin">
        <color theme="8" tint="0.79998168889431442"/>
      </right>
      <top style="thin">
        <color theme="8" tint="0.79992065187536243"/>
      </top>
      <bottom/>
      <diagonal/>
    </border>
    <border>
      <left style="thin">
        <color theme="8" tint="0.79998168889431442"/>
      </left>
      <right style="thin">
        <color theme="8" tint="0.79995117038483843"/>
      </right>
      <top style="thin">
        <color theme="8" tint="0.79992065187536243"/>
      </top>
      <bottom/>
      <diagonal/>
    </border>
    <border>
      <left style="thin">
        <color theme="8" tint="0.79995117038483843"/>
      </left>
      <right style="thin">
        <color theme="8" tint="0.79992065187536243"/>
      </right>
      <top style="thin">
        <color theme="8" tint="0.79992065187536243"/>
      </top>
      <bottom/>
      <diagonal/>
    </border>
    <border>
      <left style="thin">
        <color theme="8" tint="0.79992065187536243"/>
      </left>
      <right style="thin">
        <color theme="8" tint="0.79989013336588644"/>
      </right>
      <top style="thin">
        <color theme="8" tint="0.79992065187536243"/>
      </top>
      <bottom/>
      <diagonal/>
    </border>
    <border>
      <left style="thin">
        <color theme="8" tint="0.79989013336588644"/>
      </left>
      <right style="thin">
        <color theme="8" tint="0.79985961485641044"/>
      </right>
      <top style="thin">
        <color theme="8" tint="0.79992065187536243"/>
      </top>
      <bottom/>
      <diagonal/>
    </border>
    <border>
      <left style="thin">
        <color theme="8" tint="0.79985961485641044"/>
      </left>
      <right style="thin">
        <color theme="8" tint="0.79982909634693444"/>
      </right>
      <top style="thin">
        <color theme="8" tint="0.79992065187536243"/>
      </top>
      <bottom/>
      <diagonal/>
    </border>
    <border>
      <left/>
      <right style="thin">
        <color rgb="FF00B0F0"/>
      </right>
      <top style="thin">
        <color theme="8" tint="0.79992065187536243"/>
      </top>
      <bottom/>
      <diagonal/>
    </border>
    <border>
      <left style="thin">
        <color rgb="FF00B0F0"/>
      </left>
      <right style="thin">
        <color theme="8" tint="0.79998168889431442"/>
      </right>
      <top/>
      <bottom style="thin">
        <color theme="8" tint="0.79989013336588644"/>
      </bottom>
      <diagonal/>
    </border>
    <border>
      <left style="thin">
        <color theme="8" tint="0.79998168889431442"/>
      </left>
      <right style="thin">
        <color theme="8" tint="0.79995117038483843"/>
      </right>
      <top/>
      <bottom style="thin">
        <color theme="8" tint="0.79989013336588644"/>
      </bottom>
      <diagonal/>
    </border>
    <border>
      <left style="thin">
        <color theme="8" tint="0.79995117038483843"/>
      </left>
      <right style="thin">
        <color theme="8" tint="0.79992065187536243"/>
      </right>
      <top/>
      <bottom style="thin">
        <color theme="8" tint="0.79989013336588644"/>
      </bottom>
      <diagonal/>
    </border>
    <border>
      <left style="thin">
        <color theme="8" tint="0.79989013336588644"/>
      </left>
      <right style="thin">
        <color rgb="FF00B0F0"/>
      </right>
      <top/>
      <bottom style="thin">
        <color theme="8" tint="0.79992065187536243"/>
      </bottom>
      <diagonal/>
    </border>
    <border>
      <left style="thin">
        <color theme="8" tint="0.79989013336588644"/>
      </left>
      <right style="thin">
        <color theme="8" tint="0.79985961485641044"/>
      </right>
      <top/>
      <bottom style="thin">
        <color theme="8" tint="0.79989013336588644"/>
      </bottom>
      <diagonal/>
    </border>
    <border>
      <left/>
      <right style="thin">
        <color rgb="FF00B0F0"/>
      </right>
      <top/>
      <bottom style="thin">
        <color theme="8" tint="0.79989013336588644"/>
      </bottom>
      <diagonal/>
    </border>
    <border>
      <left style="thin">
        <color rgb="FF00B0F0"/>
      </left>
      <right style="thin">
        <color theme="8" tint="0.79998168889431442"/>
      </right>
      <top style="thin">
        <color theme="8" tint="0.79989013336588644"/>
      </top>
      <bottom/>
      <diagonal/>
    </border>
    <border>
      <left style="thin">
        <color theme="8" tint="0.79998168889431442"/>
      </left>
      <right style="thin">
        <color theme="8" tint="0.79995117038483843"/>
      </right>
      <top style="thin">
        <color theme="8" tint="0.79989013336588644"/>
      </top>
      <bottom/>
      <diagonal/>
    </border>
    <border>
      <left style="thin">
        <color theme="8" tint="0.79995117038483843"/>
      </left>
      <right style="thin">
        <color theme="8" tint="0.79992065187536243"/>
      </right>
      <top style="thin">
        <color theme="8" tint="0.79989013336588644"/>
      </top>
      <bottom/>
      <diagonal/>
    </border>
    <border>
      <left style="thin">
        <color theme="8" tint="0.79992065187536243"/>
      </left>
      <right style="thin">
        <color theme="8" tint="0.79989013336588644"/>
      </right>
      <top style="thin">
        <color theme="8" tint="0.79989013336588644"/>
      </top>
      <bottom/>
      <diagonal/>
    </border>
    <border>
      <left style="thin">
        <color theme="8" tint="0.79989013336588644"/>
      </left>
      <right style="thin">
        <color theme="8" tint="0.79985961485641044"/>
      </right>
      <top style="thin">
        <color theme="8" tint="0.79989013336588644"/>
      </top>
      <bottom/>
      <diagonal/>
    </border>
    <border>
      <left style="thin">
        <color theme="8" tint="0.79985961485641044"/>
      </left>
      <right style="thin">
        <color theme="8" tint="0.79982909634693444"/>
      </right>
      <top style="thin">
        <color theme="8" tint="0.79989013336588644"/>
      </top>
      <bottom/>
      <diagonal/>
    </border>
    <border>
      <left/>
      <right style="thin">
        <color rgb="FF00B0F0"/>
      </right>
      <top style="thin">
        <color theme="8" tint="0.79989013336588644"/>
      </top>
      <bottom/>
      <diagonal/>
    </border>
    <border>
      <left style="thin">
        <color rgb="FF00B0F0"/>
      </left>
      <right style="thin">
        <color theme="8" tint="0.79998168889431442"/>
      </right>
      <top/>
      <bottom style="thin">
        <color theme="8" tint="0.79985961485641044"/>
      </bottom>
      <diagonal/>
    </border>
    <border>
      <left style="thin">
        <color theme="8" tint="0.79998168889431442"/>
      </left>
      <right style="thin">
        <color theme="8" tint="0.79995117038483843"/>
      </right>
      <top/>
      <bottom style="thin">
        <color theme="8" tint="0.79985961485641044"/>
      </bottom>
      <diagonal/>
    </border>
    <border>
      <left style="thin">
        <color theme="8" tint="0.79989013336588644"/>
      </left>
      <right style="thin">
        <color theme="8" tint="0.79985961485641044"/>
      </right>
      <top/>
      <bottom style="thin">
        <color theme="8" tint="0.79985961485641044"/>
      </bottom>
      <diagonal/>
    </border>
    <border>
      <left style="thin">
        <color theme="8" tint="0.79985961485641044"/>
      </left>
      <right style="thin">
        <color theme="8" tint="0.79982909634693444"/>
      </right>
      <top/>
      <bottom style="thin">
        <color theme="8" tint="0.79985961485641044"/>
      </bottom>
      <diagonal/>
    </border>
    <border>
      <left style="thin">
        <color theme="0" tint="-0.14996795556505021"/>
      </left>
      <right/>
      <top style="thin">
        <color theme="0" tint="-0.14993743705557422"/>
      </top>
      <bottom/>
      <diagonal/>
    </border>
    <border>
      <left style="thin">
        <color theme="8" tint="0.79995117038483843"/>
      </left>
      <right/>
      <top/>
      <bottom/>
      <diagonal/>
    </border>
    <border>
      <left style="thin">
        <color rgb="FF00B0F0"/>
      </left>
      <right style="thin">
        <color theme="8" tint="0.79985961485641044"/>
      </right>
      <top/>
      <bottom style="thin">
        <color rgb="FF00B0F0"/>
      </bottom>
      <diagonal/>
    </border>
    <border>
      <left style="thin">
        <color theme="8" tint="0.79998168889431442"/>
      </left>
      <right style="thin">
        <color theme="8" tint="0.79995117038483843"/>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thin">
        <color theme="8" tint="0.79998168889431442"/>
      </left>
      <right style="thin">
        <color theme="8" tint="0.79998168889431442"/>
      </right>
      <top/>
      <bottom/>
      <diagonal/>
    </border>
    <border>
      <left style="thin">
        <color rgb="FF00B0F0"/>
      </left>
      <right style="thin">
        <color theme="8" tint="0.79995117038483843"/>
      </right>
      <top/>
      <bottom style="thin">
        <color theme="8" tint="0.79985961485641044"/>
      </bottom>
      <diagonal/>
    </border>
    <border>
      <left style="thin">
        <color theme="8" tint="0.79998168889431442"/>
      </left>
      <right style="thin">
        <color theme="8" tint="0.79998168889431442"/>
      </right>
      <top/>
      <bottom style="thin">
        <color theme="8" tint="0.79998168889431442"/>
      </bottom>
      <diagonal/>
    </border>
    <border>
      <left style="thin">
        <color theme="8" tint="0.79998168889431442"/>
      </left>
      <right style="thin">
        <color theme="8" tint="0.79998168889431442"/>
      </right>
      <top style="thin">
        <color theme="8" tint="0.79998168889431442"/>
      </top>
      <bottom/>
      <diagonal/>
    </border>
    <border>
      <left style="thin">
        <color rgb="FF00B0F0"/>
      </left>
      <right/>
      <top style="thin">
        <color theme="8" tint="0.79998168889431442"/>
      </top>
      <bottom/>
      <diagonal/>
    </border>
    <border>
      <left style="thin">
        <color theme="8" tint="0.79998168889431442"/>
      </left>
      <right style="thin">
        <color rgb="FF00B0F0"/>
      </right>
      <top/>
      <bottom style="thin">
        <color theme="8" tint="0.79998168889431442"/>
      </bottom>
      <diagonal/>
    </border>
    <border>
      <left style="thin">
        <color rgb="FF00B0F0"/>
      </left>
      <right/>
      <top/>
      <bottom style="thin">
        <color rgb="FF00B0F0"/>
      </bottom>
      <diagonal/>
    </border>
    <border>
      <left style="thin">
        <color theme="8" tint="0.79998168889431442"/>
      </left>
      <right style="thin">
        <color theme="8" tint="0.79998168889431442"/>
      </right>
      <top/>
      <bottom style="thin">
        <color rgb="FF00B0F0"/>
      </bottom>
      <diagonal/>
    </border>
    <border>
      <left style="thin">
        <color rgb="FF00B0F0"/>
      </left>
      <right/>
      <top/>
      <bottom style="thin">
        <color theme="8" tint="0.79998168889431442"/>
      </bottom>
      <diagonal/>
    </border>
    <border>
      <left/>
      <right/>
      <top/>
      <bottom style="thin">
        <color theme="8" tint="0.79998168889431442"/>
      </bottom>
      <diagonal/>
    </border>
    <border>
      <left style="thin">
        <color rgb="FF00B0F0"/>
      </left>
      <right style="thin">
        <color theme="8" tint="0.79985961485641044"/>
      </right>
      <top/>
      <bottom style="thin">
        <color theme="8" tint="0.79992065187536243"/>
      </bottom>
      <diagonal/>
    </border>
    <border>
      <left style="thin">
        <color theme="0" tint="-0.14996795556505021"/>
      </left>
      <right/>
      <top/>
      <bottom/>
      <diagonal/>
    </border>
    <border>
      <left style="thin">
        <color theme="0" tint="-0.14996795556505021"/>
      </left>
      <right style="thin">
        <color rgb="FF00B0F0"/>
      </right>
      <top/>
      <bottom/>
      <diagonal/>
    </border>
    <border>
      <left style="thin">
        <color theme="8" tint="0.79998168889431442"/>
      </left>
      <right style="thin">
        <color rgb="FF00B0F0"/>
      </right>
      <top/>
      <bottom/>
      <diagonal/>
    </border>
    <border>
      <left style="thin">
        <color rgb="FF00B0F0"/>
      </left>
      <right style="thin">
        <color theme="0" tint="-0.14993743705557422"/>
      </right>
      <top/>
      <bottom/>
      <diagonal/>
    </border>
    <border>
      <left/>
      <right style="thin">
        <color theme="0" tint="-0.14993743705557422"/>
      </right>
      <top/>
      <bottom/>
      <diagonal/>
    </border>
    <border>
      <left style="thin">
        <color rgb="FF00B0F0"/>
      </left>
      <right style="thin">
        <color theme="0" tint="-0.14996795556505021"/>
      </right>
      <top/>
      <bottom/>
      <diagonal/>
    </border>
    <border>
      <left style="thin">
        <color rgb="FF00B0F0"/>
      </left>
      <right style="thin">
        <color theme="0" tint="-0.14993743705557422"/>
      </right>
      <top style="thin">
        <color theme="0" tint="-0.14996795556505021"/>
      </top>
      <bottom/>
      <diagonal/>
    </border>
    <border>
      <left style="thin">
        <color theme="0" tint="-0.14996795556505021"/>
      </left>
      <right style="thin">
        <color rgb="FF00B0F0"/>
      </right>
      <top style="thin">
        <color theme="0" tint="-0.14996795556505021"/>
      </top>
      <bottom/>
      <diagonal/>
    </border>
    <border>
      <left style="thin">
        <color theme="0" tint="-0.14996795556505021"/>
      </left>
      <right style="thin">
        <color rgb="FF00B0F0"/>
      </right>
      <top style="thin">
        <color theme="0" tint="-0.14993743705557422"/>
      </top>
      <bottom/>
      <diagonal/>
    </border>
    <border>
      <left style="thin">
        <color rgb="FF00B0F0"/>
      </left>
      <right style="thin">
        <color theme="0" tint="-0.14996795556505021"/>
      </right>
      <top/>
      <bottom style="thin">
        <color rgb="FF00B0F0"/>
      </bottom>
      <diagonal/>
    </border>
    <border>
      <left/>
      <right style="thin">
        <color theme="0" tint="-0.14996795556505021"/>
      </right>
      <top/>
      <bottom style="thin">
        <color rgb="FF00B0F0"/>
      </bottom>
      <diagonal/>
    </border>
    <border>
      <left style="thin">
        <color rgb="FF00B0F0"/>
      </left>
      <right/>
      <top style="medium">
        <color rgb="FF00B0F0"/>
      </top>
      <bottom style="thin">
        <color rgb="FFB4C6E7"/>
      </bottom>
      <diagonal/>
    </border>
    <border>
      <left/>
      <right/>
      <top style="medium">
        <color rgb="FF00B0F0"/>
      </top>
      <bottom style="thin">
        <color rgb="FFB4C6E7"/>
      </bottom>
      <diagonal/>
    </border>
    <border>
      <left/>
      <right style="thin">
        <color rgb="FF00B0F0"/>
      </right>
      <top style="medium">
        <color rgb="FF00B0F0"/>
      </top>
      <bottom style="thin">
        <color rgb="FFB4C6E7"/>
      </bottom>
      <diagonal/>
    </border>
    <border>
      <left style="thin">
        <color theme="0" tint="-0.14996795556505021"/>
      </left>
      <right style="thin">
        <color rgb="FF00B0F0"/>
      </right>
      <top/>
      <bottom style="thin">
        <color theme="0" tint="-0.14993743705557422"/>
      </bottom>
      <diagonal/>
    </border>
    <border>
      <left style="thin">
        <color theme="0" tint="-0.14996795556505021"/>
      </left>
      <right/>
      <top style="thin">
        <color theme="0" tint="-0.14993743705557422"/>
      </top>
      <bottom style="thin">
        <color rgb="FF00B0F0"/>
      </bottom>
      <diagonal/>
    </border>
    <border>
      <left style="thin">
        <color theme="0" tint="-0.14996795556505021"/>
      </left>
      <right style="thin">
        <color rgb="FF00B0F0"/>
      </right>
      <top style="thin">
        <color theme="0" tint="-0.14993743705557422"/>
      </top>
      <bottom style="thin">
        <color rgb="FF00B0F0"/>
      </bottom>
      <diagonal/>
    </border>
    <border>
      <left style="thin">
        <color theme="8" tint="0.79998168889431442"/>
      </left>
      <right/>
      <top style="thin">
        <color theme="8" tint="0.79998168889431442"/>
      </top>
      <bottom/>
      <diagonal/>
    </border>
    <border>
      <left/>
      <right/>
      <top style="thin">
        <color theme="8" tint="0.79998168889431442"/>
      </top>
      <bottom/>
      <diagonal/>
    </border>
    <border>
      <left style="thin">
        <color theme="8" tint="0.79998168889431442"/>
      </left>
      <right/>
      <top/>
      <bottom style="thin">
        <color rgb="FF00B0F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rgb="FF00B0F0"/>
      </right>
      <top style="medium">
        <color indexed="64"/>
      </top>
      <bottom style="thin">
        <color rgb="FF00B0F0"/>
      </bottom>
      <diagonal/>
    </border>
    <border>
      <left style="thin">
        <color rgb="FF00B0F0"/>
      </left>
      <right style="thin">
        <color rgb="FF00B0F0"/>
      </right>
      <top style="medium">
        <color indexed="64"/>
      </top>
      <bottom style="thin">
        <color rgb="FF00B0F0"/>
      </bottom>
      <diagonal/>
    </border>
    <border>
      <left style="thin">
        <color rgb="FF00B0F0"/>
      </left>
      <right style="medium">
        <color indexed="64"/>
      </right>
      <top style="medium">
        <color indexed="64"/>
      </top>
      <bottom style="thin">
        <color rgb="FF00B0F0"/>
      </bottom>
      <diagonal/>
    </border>
    <border>
      <left style="medium">
        <color indexed="64"/>
      </left>
      <right style="thin">
        <color rgb="FF00B0F0"/>
      </right>
      <top style="thin">
        <color rgb="FF00B0F0"/>
      </top>
      <bottom style="thin">
        <color rgb="FF00B0F0"/>
      </bottom>
      <diagonal/>
    </border>
    <border>
      <left style="thin">
        <color rgb="FF00B0F0"/>
      </left>
      <right style="thin">
        <color rgb="FF00B0F0"/>
      </right>
      <top style="thin">
        <color rgb="FF00B0F0"/>
      </top>
      <bottom style="thin">
        <color rgb="FF00B0F0"/>
      </bottom>
      <diagonal/>
    </border>
    <border>
      <left style="thin">
        <color rgb="FF00B0F0"/>
      </left>
      <right style="medium">
        <color indexed="64"/>
      </right>
      <top style="thin">
        <color rgb="FF00B0F0"/>
      </top>
      <bottom style="thin">
        <color rgb="FF00B0F0"/>
      </bottom>
      <diagonal/>
    </border>
    <border>
      <left style="medium">
        <color indexed="64"/>
      </left>
      <right style="thin">
        <color rgb="FF00B0F0"/>
      </right>
      <top style="thin">
        <color rgb="FF00B0F0"/>
      </top>
      <bottom style="medium">
        <color indexed="64"/>
      </bottom>
      <diagonal/>
    </border>
    <border>
      <left style="thin">
        <color rgb="FF00B0F0"/>
      </left>
      <right style="thin">
        <color rgb="FF00B0F0"/>
      </right>
      <top style="thin">
        <color rgb="FF00B0F0"/>
      </top>
      <bottom style="medium">
        <color indexed="64"/>
      </bottom>
      <diagonal/>
    </border>
    <border>
      <left style="thin">
        <color rgb="FF00B0F0"/>
      </left>
      <right style="medium">
        <color indexed="64"/>
      </right>
      <top style="thin">
        <color rgb="FF00B0F0"/>
      </top>
      <bottom style="medium">
        <color indexed="64"/>
      </bottom>
      <diagonal/>
    </border>
  </borders>
  <cellStyleXfs count="10">
    <xf numFmtId="0" fontId="0" fillId="0" borderId="0"/>
    <xf numFmtId="0" fontId="2" fillId="0" borderId="0" applyFill="0" applyBorder="0" applyProtection="0"/>
    <xf numFmtId="0" fontId="4" fillId="3" borderId="0" applyNumberFormat="0" applyBorder="0" applyProtection="0">
      <alignment horizontal="center"/>
    </xf>
    <xf numFmtId="0" fontId="6" fillId="0" borderId="0" applyNumberFormat="0" applyFill="0" applyProtection="0">
      <alignment horizontal="left" indent="3"/>
    </xf>
    <xf numFmtId="0" fontId="9" fillId="5" borderId="6" applyNumberFormat="0" applyProtection="0">
      <alignment horizontal="left" vertical="center" indent="1"/>
    </xf>
    <xf numFmtId="0" fontId="9" fillId="3" borderId="6" applyNumberFormat="0" applyProtection="0">
      <alignment horizontal="left" indent="1"/>
    </xf>
    <xf numFmtId="164" fontId="11" fillId="0" borderId="10" applyFill="0" applyProtection="0">
      <alignment horizontal="left" vertical="center" wrapText="1" indent="1"/>
    </xf>
    <xf numFmtId="164" fontId="17" fillId="0" borderId="17" applyFill="0" applyProtection="0">
      <alignment horizontal="left" vertical="top" wrapText="1" indent="1"/>
    </xf>
    <xf numFmtId="164" fontId="2" fillId="0" borderId="68" applyNumberFormat="0" applyFill="0" applyProtection="0">
      <alignment horizontal="left" vertical="center" wrapText="1" indent="1"/>
    </xf>
    <xf numFmtId="164" fontId="1" fillId="0" borderId="0" applyNumberFormat="0" applyFill="0" applyProtection="0">
      <alignment horizontal="left" vertical="top" wrapText="1" indent="1"/>
    </xf>
  </cellStyleXfs>
  <cellXfs count="354">
    <xf numFmtId="0" fontId="0" fillId="0" borderId="0" xfId="0"/>
    <xf numFmtId="0" fontId="3" fillId="2" borderId="0" xfId="1" applyFont="1" applyFill="1"/>
    <xf numFmtId="0" fontId="3" fillId="0" borderId="0" xfId="1" applyFont="1"/>
    <xf numFmtId="0" fontId="5" fillId="4" borderId="1" xfId="2" applyFont="1" applyFill="1" applyBorder="1" applyAlignment="1">
      <alignment horizontal="center" vertical="center"/>
    </xf>
    <xf numFmtId="0" fontId="5" fillId="4" borderId="2" xfId="3" applyFont="1" applyFill="1" applyBorder="1" applyAlignment="1">
      <alignment vertical="center"/>
    </xf>
    <xf numFmtId="0" fontId="5" fillId="4" borderId="2" xfId="3" applyFont="1" applyFill="1" applyBorder="1" applyAlignment="1"/>
    <xf numFmtId="0" fontId="7" fillId="4" borderId="2" xfId="3" applyFont="1" applyFill="1" applyBorder="1" applyAlignment="1">
      <alignment horizontal="center" vertical="center" wrapText="1"/>
    </xf>
    <xf numFmtId="0" fontId="7" fillId="4" borderId="3" xfId="3" applyFont="1" applyFill="1" applyBorder="1" applyAlignment="1">
      <alignment horizontal="center" vertical="center" wrapText="1"/>
    </xf>
    <xf numFmtId="0" fontId="3" fillId="0" borderId="4" xfId="1" applyFont="1" applyBorder="1"/>
    <xf numFmtId="0" fontId="3" fillId="0" borderId="0" xfId="1" applyFont="1" applyBorder="1"/>
    <xf numFmtId="0" fontId="3" fillId="0" borderId="5" xfId="1" applyFont="1" applyBorder="1"/>
    <xf numFmtId="0" fontId="8" fillId="0" borderId="0" xfId="1" applyFont="1"/>
    <xf numFmtId="0" fontId="10" fillId="6" borderId="7" xfId="4" applyFont="1" applyFill="1" applyBorder="1" applyAlignment="1">
      <alignment horizontal="center" vertical="center"/>
    </xf>
    <xf numFmtId="0" fontId="10" fillId="7" borderId="8" xfId="5" applyFont="1" applyFill="1" applyBorder="1" applyAlignment="1">
      <alignment horizontal="center" vertical="center"/>
    </xf>
    <xf numFmtId="0" fontId="10" fillId="6" borderId="8" xfId="4" applyFont="1" applyFill="1" applyBorder="1" applyAlignment="1">
      <alignment horizontal="center" vertical="center"/>
    </xf>
    <xf numFmtId="0" fontId="10" fillId="6" borderId="9" xfId="4" applyFont="1" applyFill="1" applyBorder="1" applyAlignment="1">
      <alignment horizontal="center" vertical="center"/>
    </xf>
    <xf numFmtId="0" fontId="3" fillId="0" borderId="0" xfId="1" applyFont="1" applyAlignment="1">
      <alignment horizontal="left" indent="1"/>
    </xf>
    <xf numFmtId="164" fontId="12" fillId="0" borderId="11" xfId="6" applyFont="1" applyFill="1" applyBorder="1" applyAlignment="1">
      <alignment horizontal="left" wrapText="1" indent="1"/>
    </xf>
    <xf numFmtId="164" fontId="13" fillId="0" borderId="12" xfId="6" applyFont="1" applyFill="1" applyBorder="1" applyAlignment="1">
      <alignment horizontal="left" wrapText="1" indent="1"/>
    </xf>
    <xf numFmtId="164" fontId="12" fillId="0" borderId="13" xfId="6" applyFont="1" applyFill="1" applyBorder="1" applyAlignment="1">
      <alignment horizontal="left" wrapText="1" indent="1"/>
    </xf>
    <xf numFmtId="164" fontId="12" fillId="0" borderId="14" xfId="6" applyFont="1" applyFill="1" applyBorder="1" applyAlignment="1">
      <alignment horizontal="left" wrapText="1" indent="1"/>
    </xf>
    <xf numFmtId="164" fontId="12" fillId="0" borderId="15" xfId="6" applyFont="1" applyFill="1" applyBorder="1" applyAlignment="1">
      <alignment horizontal="left" wrapText="1" indent="1"/>
    </xf>
    <xf numFmtId="164" fontId="14" fillId="0" borderId="16" xfId="6" applyFont="1" applyFill="1" applyBorder="1" applyAlignment="1">
      <alignment horizontal="left" wrapText="1" indent="1"/>
    </xf>
    <xf numFmtId="164" fontId="15" fillId="0" borderId="5" xfId="6" applyFont="1" applyFill="1" applyBorder="1" applyAlignment="1">
      <alignment horizontal="left" wrapText="1" indent="1"/>
    </xf>
    <xf numFmtId="0" fontId="16" fillId="0" borderId="0" xfId="1" applyFont="1"/>
    <xf numFmtId="0" fontId="18" fillId="0" borderId="18" xfId="7" applyNumberFormat="1" applyFont="1" applyFill="1" applyBorder="1">
      <alignment horizontal="left" vertical="top" wrapText="1" indent="1"/>
    </xf>
    <xf numFmtId="0" fontId="19" fillId="0" borderId="19" xfId="7" applyNumberFormat="1" applyFont="1" applyFill="1" applyBorder="1" applyAlignment="1">
      <alignment horizontal="center" vertical="center" wrapText="1"/>
    </xf>
    <xf numFmtId="0" fontId="18" fillId="0" borderId="20" xfId="7" applyNumberFormat="1" applyFont="1" applyFill="1" applyBorder="1">
      <alignment horizontal="left" vertical="top" wrapText="1" indent="1"/>
    </xf>
    <xf numFmtId="0" fontId="18" fillId="0" borderId="21" xfId="7" applyNumberFormat="1" applyFont="1" applyFill="1" applyBorder="1">
      <alignment horizontal="left" vertical="top" wrapText="1" indent="1"/>
    </xf>
    <xf numFmtId="0" fontId="18" fillId="0" borderId="22" xfId="7" applyNumberFormat="1" applyFont="1" applyFill="1" applyBorder="1">
      <alignment horizontal="left" vertical="top" wrapText="1" indent="1"/>
    </xf>
    <xf numFmtId="0" fontId="16" fillId="0" borderId="23" xfId="7" applyNumberFormat="1" applyFont="1" applyFill="1" applyBorder="1">
      <alignment horizontal="left" vertical="top" wrapText="1" indent="1"/>
    </xf>
    <xf numFmtId="0" fontId="16" fillId="0" borderId="24" xfId="7" applyNumberFormat="1" applyFont="1" applyFill="1" applyBorder="1">
      <alignment horizontal="left" vertical="top" wrapText="1" indent="1"/>
    </xf>
    <xf numFmtId="164" fontId="14" fillId="0" borderId="25" xfId="6" applyFont="1" applyFill="1" applyBorder="1" applyAlignment="1">
      <alignment horizontal="left" wrapText="1" indent="1"/>
    </xf>
    <xf numFmtId="164" fontId="15" fillId="0" borderId="26" xfId="6" applyFont="1" applyFill="1" applyBorder="1" applyAlignment="1">
      <alignment horizontal="left" wrapText="1" indent="1"/>
    </xf>
    <xf numFmtId="164" fontId="14" fillId="0" borderId="27" xfId="6" applyFont="1" applyFill="1" applyBorder="1" applyAlignment="1">
      <alignment horizontal="left" wrapText="1" indent="1"/>
    </xf>
    <xf numFmtId="164" fontId="14" fillId="0" borderId="28" xfId="6" applyFont="1" applyFill="1" applyBorder="1" applyAlignment="1">
      <alignment horizontal="left" wrapText="1" indent="1"/>
    </xf>
    <xf numFmtId="164" fontId="14" fillId="0" borderId="29" xfId="6" applyFont="1" applyFill="1" applyBorder="1" applyAlignment="1">
      <alignment horizontal="left" wrapText="1" indent="1"/>
    </xf>
    <xf numFmtId="164" fontId="15" fillId="0" borderId="30" xfId="6" applyFont="1" applyFill="1" applyBorder="1" applyAlignment="1">
      <alignment horizontal="left" wrapText="1" indent="1"/>
    </xf>
    <xf numFmtId="164" fontId="15" fillId="0" borderId="31" xfId="6" applyFont="1" applyFill="1" applyBorder="1" applyAlignment="1">
      <alignment horizontal="left" wrapText="1" indent="1"/>
    </xf>
    <xf numFmtId="0" fontId="16" fillId="0" borderId="32" xfId="7" applyNumberFormat="1" applyFont="1" applyFill="1" applyBorder="1">
      <alignment horizontal="left" vertical="top" wrapText="1" indent="1"/>
    </xf>
    <xf numFmtId="0" fontId="20" fillId="0" borderId="33" xfId="7" applyNumberFormat="1" applyFont="1" applyFill="1" applyBorder="1" applyAlignment="1">
      <alignment horizontal="center" vertical="center" wrapText="1"/>
    </xf>
    <xf numFmtId="0" fontId="16" fillId="0" borderId="22" xfId="7" applyNumberFormat="1" applyFont="1" applyFill="1" applyBorder="1">
      <alignment horizontal="left" vertical="top" wrapText="1" indent="1"/>
    </xf>
    <xf numFmtId="0" fontId="16" fillId="0" borderId="34" xfId="7" applyNumberFormat="1" applyFont="1" applyFill="1" applyBorder="1">
      <alignment horizontal="left" vertical="top" wrapText="1" indent="1"/>
    </xf>
    <xf numFmtId="0" fontId="16" fillId="0" borderId="5" xfId="1" applyFont="1" applyBorder="1"/>
    <xf numFmtId="164" fontId="14" fillId="0" borderId="35" xfId="6" applyFont="1" applyFill="1" applyBorder="1" applyAlignment="1">
      <alignment horizontal="left" wrapText="1" indent="1"/>
    </xf>
    <xf numFmtId="164" fontId="14" fillId="0" borderId="36" xfId="6" applyFont="1" applyFill="1" applyBorder="1" applyAlignment="1">
      <alignment horizontal="left" wrapText="1" indent="1"/>
    </xf>
    <xf numFmtId="164" fontId="14" fillId="0" borderId="37" xfId="6" applyFont="1" applyFill="1" applyBorder="1" applyAlignment="1">
      <alignment horizontal="left" wrapText="1" indent="1"/>
    </xf>
    <xf numFmtId="164" fontId="14" fillId="0" borderId="38" xfId="6" applyFont="1" applyFill="1" applyBorder="1" applyAlignment="1">
      <alignment horizontal="left" wrapText="1" indent="1"/>
    </xf>
    <xf numFmtId="164" fontId="14" fillId="0" borderId="39" xfId="6" applyFont="1" applyFill="1" applyBorder="1" applyAlignment="1">
      <alignment horizontal="left" wrapText="1" indent="1"/>
    </xf>
    <xf numFmtId="164" fontId="14" fillId="0" borderId="40" xfId="6" applyFont="1" applyFill="1" applyBorder="1" applyAlignment="1">
      <alignment horizontal="left" wrapText="1" indent="1"/>
    </xf>
    <xf numFmtId="164" fontId="15" fillId="0" borderId="41" xfId="6" applyFont="1" applyFill="1" applyBorder="1" applyAlignment="1">
      <alignment horizontal="left" wrapText="1" indent="1"/>
    </xf>
    <xf numFmtId="0" fontId="16" fillId="0" borderId="42" xfId="7" applyNumberFormat="1" applyFont="1" applyFill="1" applyBorder="1">
      <alignment horizontal="left" vertical="top" wrapText="1" indent="1"/>
    </xf>
    <xf numFmtId="0" fontId="21" fillId="0" borderId="17" xfId="7" applyNumberFormat="1" applyFont="1" applyFill="1" applyAlignment="1">
      <alignment horizontal="center" vertical="top" wrapText="1"/>
    </xf>
    <xf numFmtId="0" fontId="16" fillId="0" borderId="43" xfId="7" applyNumberFormat="1" applyFont="1" applyFill="1" applyBorder="1">
      <alignment horizontal="left" vertical="top" wrapText="1" indent="1"/>
    </xf>
    <xf numFmtId="164" fontId="14" fillId="0" borderId="44" xfId="6" applyFont="1" applyFill="1" applyBorder="1" applyAlignment="1">
      <alignment horizontal="left" wrapText="1" indent="1"/>
    </xf>
    <xf numFmtId="164" fontId="14" fillId="0" borderId="45" xfId="6" applyFont="1" applyFill="1" applyBorder="1" applyAlignment="1">
      <alignment horizontal="left" wrapText="1" indent="1"/>
    </xf>
    <xf numFmtId="164" fontId="14" fillId="0" borderId="46" xfId="6" applyFont="1" applyFill="1" applyBorder="1" applyAlignment="1">
      <alignment horizontal="left" wrapText="1" indent="1"/>
    </xf>
    <xf numFmtId="164" fontId="15" fillId="0" borderId="47" xfId="6" applyFont="1" applyFill="1" applyBorder="1" applyAlignment="1">
      <alignment horizontal="left" wrapText="1" indent="1"/>
    </xf>
    <xf numFmtId="164" fontId="14" fillId="0" borderId="48" xfId="6" applyFont="1" applyFill="1" applyBorder="1" applyAlignment="1">
      <alignment horizontal="left" wrapText="1" indent="1"/>
    </xf>
    <xf numFmtId="164" fontId="15" fillId="0" borderId="49" xfId="6" applyFont="1" applyFill="1" applyBorder="1" applyAlignment="1">
      <alignment horizontal="left" wrapText="1" indent="1"/>
    </xf>
    <xf numFmtId="164" fontId="15" fillId="0" borderId="50" xfId="6" applyFont="1" applyFill="1" applyBorder="1" applyAlignment="1">
      <alignment horizontal="left" wrapText="1" indent="1"/>
    </xf>
    <xf numFmtId="0" fontId="16" fillId="0" borderId="51" xfId="7" applyNumberFormat="1" applyFont="1" applyFill="1" applyBorder="1">
      <alignment horizontal="left" vertical="top" wrapText="1" indent="1"/>
    </xf>
    <xf numFmtId="0" fontId="16" fillId="0" borderId="52" xfId="7" applyNumberFormat="1" applyFont="1" applyFill="1" applyBorder="1">
      <alignment horizontal="left" vertical="top" wrapText="1" indent="1"/>
    </xf>
    <xf numFmtId="0" fontId="16" fillId="0" borderId="53" xfId="7" applyNumberFormat="1" applyFont="1" applyFill="1" applyBorder="1">
      <alignment horizontal="left" vertical="top" wrapText="1" indent="1"/>
    </xf>
    <xf numFmtId="0" fontId="20" fillId="0" borderId="54" xfId="7" applyNumberFormat="1" applyFont="1" applyFill="1" applyBorder="1" applyAlignment="1">
      <alignment horizontal="center" vertical="center" wrapText="1"/>
    </xf>
    <xf numFmtId="0" fontId="16" fillId="0" borderId="55" xfId="7" applyNumberFormat="1" applyFont="1" applyFill="1" applyBorder="1">
      <alignment horizontal="left" vertical="top" wrapText="1" indent="1"/>
    </xf>
    <xf numFmtId="0" fontId="20" fillId="0" borderId="56" xfId="7" applyNumberFormat="1" applyFont="1" applyFill="1" applyBorder="1" applyAlignment="1">
      <alignment horizontal="left" vertical="center" wrapText="1" indent="1"/>
    </xf>
    <xf numFmtId="164" fontId="14" fillId="0" borderId="57" xfId="6" applyFont="1" applyFill="1" applyBorder="1" applyAlignment="1">
      <alignment horizontal="left" wrapText="1" indent="1"/>
    </xf>
    <xf numFmtId="164" fontId="14" fillId="0" borderId="58" xfId="6" applyFont="1" applyFill="1" applyBorder="1" applyAlignment="1">
      <alignment horizontal="left" wrapText="1" indent="1"/>
    </xf>
    <xf numFmtId="164" fontId="14" fillId="0" borderId="59" xfId="6" applyFont="1" applyFill="1" applyBorder="1" applyAlignment="1">
      <alignment horizontal="left" wrapText="1" indent="1"/>
    </xf>
    <xf numFmtId="164" fontId="22" fillId="0" borderId="60" xfId="6" applyFont="1" applyFill="1" applyBorder="1" applyAlignment="1">
      <alignment horizontal="left" wrapText="1" indent="1"/>
    </xf>
    <xf numFmtId="164" fontId="15" fillId="0" borderId="61" xfId="6" applyFont="1" applyFill="1" applyBorder="1" applyAlignment="1">
      <alignment horizontal="left" wrapText="1" indent="1"/>
    </xf>
    <xf numFmtId="164" fontId="14" fillId="0" borderId="62" xfId="6" applyFont="1" applyFill="1" applyBorder="1" applyAlignment="1">
      <alignment horizontal="left" wrapText="1" indent="1"/>
    </xf>
    <xf numFmtId="164" fontId="15" fillId="0" borderId="63" xfId="6" applyFont="1" applyFill="1" applyBorder="1" applyAlignment="1">
      <alignment horizontal="left" wrapText="1" indent="1"/>
    </xf>
    <xf numFmtId="0" fontId="23" fillId="0" borderId="64" xfId="7" applyNumberFormat="1" applyFont="1" applyFill="1" applyBorder="1" applyAlignment="1">
      <alignment horizontal="left" vertical="center" wrapText="1" indent="1"/>
    </xf>
    <xf numFmtId="0" fontId="24" fillId="8" borderId="65" xfId="7" applyNumberFormat="1" applyFont="1" applyFill="1" applyBorder="1" applyAlignment="1">
      <alignment horizontal="center" vertical="center" wrapText="1"/>
    </xf>
    <xf numFmtId="0" fontId="20" fillId="8" borderId="65" xfId="7" applyNumberFormat="1" applyFont="1" applyFill="1" applyBorder="1" applyAlignment="1">
      <alignment horizontal="center" vertical="center" wrapText="1"/>
    </xf>
    <xf numFmtId="0" fontId="20" fillId="0" borderId="66" xfId="7" applyNumberFormat="1" applyFont="1" applyFill="1" applyBorder="1" applyAlignment="1">
      <alignment horizontal="left" vertical="center" wrapText="1" indent="1"/>
    </xf>
    <xf numFmtId="0" fontId="16" fillId="0" borderId="67" xfId="7" applyNumberFormat="1" applyFont="1" applyFill="1" applyBorder="1">
      <alignment horizontal="left" vertical="top" wrapText="1" indent="1"/>
    </xf>
    <xf numFmtId="0" fontId="14" fillId="0" borderId="0" xfId="1" applyFont="1" applyAlignment="1">
      <alignment horizontal="left" indent="1"/>
    </xf>
    <xf numFmtId="164" fontId="14" fillId="0" borderId="11" xfId="6" applyFont="1" applyFill="1" applyBorder="1" applyAlignment="1">
      <alignment horizontal="left" wrapText="1" indent="1"/>
    </xf>
    <xf numFmtId="164" fontId="14" fillId="0" borderId="12" xfId="6" applyFont="1" applyFill="1" applyBorder="1" applyAlignment="1">
      <alignment horizontal="left" wrapText="1" indent="1"/>
    </xf>
    <xf numFmtId="0" fontId="16" fillId="0" borderId="69" xfId="8" applyNumberFormat="1" applyFont="1" applyBorder="1" applyAlignment="1">
      <alignment wrapText="1"/>
    </xf>
    <xf numFmtId="0" fontId="16" fillId="0" borderId="0" xfId="8" applyNumberFormat="1" applyFont="1" applyBorder="1" applyAlignment="1">
      <alignment wrapText="1"/>
    </xf>
    <xf numFmtId="0" fontId="16" fillId="0" borderId="5" xfId="8" applyNumberFormat="1" applyFont="1" applyBorder="1" applyAlignment="1">
      <alignment wrapText="1"/>
    </xf>
    <xf numFmtId="0" fontId="20" fillId="0" borderId="70" xfId="7" applyNumberFormat="1" applyFont="1" applyFill="1" applyBorder="1" applyAlignment="1">
      <alignment horizontal="center" vertical="center" wrapText="1"/>
    </xf>
    <xf numFmtId="0" fontId="16" fillId="0" borderId="71" xfId="7" applyNumberFormat="1" applyFont="1" applyFill="1" applyBorder="1">
      <alignment horizontal="left" vertical="top" wrapText="1" indent="1"/>
    </xf>
    <xf numFmtId="0" fontId="16" fillId="0" borderId="72" xfId="1" applyFont="1" applyBorder="1"/>
    <xf numFmtId="0" fontId="16" fillId="0" borderId="73" xfId="1" applyFont="1" applyBorder="1"/>
    <xf numFmtId="0" fontId="3" fillId="0" borderId="0" xfId="7" applyNumberFormat="1" applyFont="1" applyFill="1" applyBorder="1">
      <alignment horizontal="left" vertical="top" wrapText="1" indent="1"/>
    </xf>
    <xf numFmtId="0" fontId="3" fillId="0" borderId="0" xfId="9" applyNumberFormat="1" applyFont="1">
      <alignment horizontal="left" vertical="top" wrapText="1" indent="1"/>
    </xf>
    <xf numFmtId="0" fontId="25" fillId="4" borderId="2" xfId="3" applyFont="1" applyFill="1" applyBorder="1" applyAlignment="1">
      <alignment horizontal="left" vertical="center" wrapText="1"/>
    </xf>
    <xf numFmtId="0" fontId="25" fillId="4" borderId="3" xfId="3" applyFont="1" applyFill="1" applyBorder="1" applyAlignment="1">
      <alignment horizontal="left" vertical="center" wrapText="1"/>
    </xf>
    <xf numFmtId="164" fontId="12" fillId="0" borderId="4" xfId="6" applyFont="1" applyFill="1" applyBorder="1" applyAlignment="1">
      <alignment horizontal="left" wrapText="1" indent="1"/>
    </xf>
    <xf numFmtId="164" fontId="14" fillId="0" borderId="74" xfId="6" applyFont="1" applyFill="1" applyBorder="1" applyAlignment="1">
      <alignment horizontal="left" wrapText="1" indent="1"/>
    </xf>
    <xf numFmtId="164" fontId="15" fillId="0" borderId="74" xfId="6" applyFont="1" applyFill="1" applyBorder="1" applyAlignment="1">
      <alignment horizontal="left" wrapText="1" indent="1"/>
    </xf>
    <xf numFmtId="164" fontId="26" fillId="0" borderId="74" xfId="6" applyFont="1" applyFill="1" applyBorder="1" applyAlignment="1">
      <alignment horizontal="left" wrapText="1" indent="1"/>
    </xf>
    <xf numFmtId="0" fontId="24" fillId="8" borderId="75" xfId="7" applyNumberFormat="1" applyFont="1" applyFill="1" applyBorder="1" applyAlignment="1">
      <alignment horizontal="center" vertical="center" wrapText="1"/>
    </xf>
    <xf numFmtId="0" fontId="16" fillId="0" borderId="0" xfId="1" applyFont="1" applyBorder="1"/>
    <xf numFmtId="0" fontId="20" fillId="0" borderId="76" xfId="7" applyNumberFormat="1" applyFont="1" applyFill="1" applyBorder="1" applyAlignment="1">
      <alignment horizontal="center" vertical="center" wrapText="1"/>
    </xf>
    <xf numFmtId="0" fontId="20" fillId="0" borderId="74" xfId="7" applyNumberFormat="1" applyFont="1" applyFill="1" applyBorder="1" applyAlignment="1">
      <alignment horizontal="center" vertical="center" wrapText="1"/>
    </xf>
    <xf numFmtId="0" fontId="20" fillId="0" borderId="24" xfId="7" applyNumberFormat="1" applyFont="1" applyFill="1" applyBorder="1" applyAlignment="1">
      <alignment horizontal="center" vertical="center" wrapText="1"/>
    </xf>
    <xf numFmtId="164" fontId="14" fillId="0" borderId="4" xfId="6" applyFont="1" applyFill="1" applyBorder="1" applyAlignment="1">
      <alignment horizontal="left" wrapText="1" indent="1"/>
    </xf>
    <xf numFmtId="164" fontId="14" fillId="0" borderId="77" xfId="6" applyFont="1" applyFill="1" applyBorder="1" applyAlignment="1">
      <alignment horizontal="left" wrapText="1" indent="1"/>
    </xf>
    <xf numFmtId="164" fontId="15" fillId="0" borderId="77" xfId="6" applyFont="1" applyFill="1" applyBorder="1" applyAlignment="1">
      <alignment horizontal="left" wrapText="1" indent="1"/>
    </xf>
    <xf numFmtId="0" fontId="27" fillId="8" borderId="75" xfId="7" applyNumberFormat="1" applyFont="1" applyFill="1" applyBorder="1" applyAlignment="1">
      <alignment horizontal="center" vertical="center" wrapText="1"/>
    </xf>
    <xf numFmtId="164" fontId="22" fillId="0" borderId="78" xfId="6" applyFont="1" applyFill="1" applyBorder="1" applyAlignment="1">
      <alignment horizontal="left" wrapText="1" indent="1"/>
    </xf>
    <xf numFmtId="164" fontId="26" fillId="0" borderId="77" xfId="6" applyFont="1" applyFill="1" applyBorder="1" applyAlignment="1">
      <alignment horizontal="left" wrapText="1" indent="1"/>
    </xf>
    <xf numFmtId="164" fontId="22" fillId="0" borderId="77" xfId="6" applyFont="1" applyFill="1" applyBorder="1" applyAlignment="1">
      <alignment horizontal="left" wrapText="1" indent="1"/>
    </xf>
    <xf numFmtId="0" fontId="28" fillId="0" borderId="18" xfId="7" applyNumberFormat="1" applyFont="1" applyFill="1" applyBorder="1" applyAlignment="1">
      <alignment horizontal="center" vertical="center" wrapText="1"/>
    </xf>
    <xf numFmtId="0" fontId="20" fillId="0" borderId="18" xfId="7" applyNumberFormat="1" applyFont="1" applyFill="1" applyBorder="1" applyAlignment="1">
      <alignment horizontal="center" vertical="center" wrapText="1"/>
    </xf>
    <xf numFmtId="0" fontId="24" fillId="0" borderId="76" xfId="7" applyNumberFormat="1" applyFont="1" applyFill="1" applyBorder="1" applyAlignment="1">
      <alignment horizontal="center" vertical="center" wrapText="1"/>
    </xf>
    <xf numFmtId="0" fontId="28" fillId="0" borderId="76" xfId="7" applyNumberFormat="1" applyFont="1" applyFill="1" applyBorder="1" applyAlignment="1">
      <alignment horizontal="center" vertical="center" wrapText="1"/>
    </xf>
    <xf numFmtId="164" fontId="14" fillId="0" borderId="78" xfId="6" applyFont="1" applyFill="1" applyBorder="1" applyAlignment="1">
      <alignment horizontal="left" wrapText="1" indent="1"/>
    </xf>
    <xf numFmtId="0" fontId="24" fillId="0" borderId="18" xfId="7" applyNumberFormat="1" applyFont="1" applyFill="1" applyBorder="1" applyAlignment="1">
      <alignment horizontal="center" vertical="center" wrapText="1"/>
    </xf>
    <xf numFmtId="0" fontId="29" fillId="0" borderId="76" xfId="7" applyNumberFormat="1" applyFont="1" applyFill="1" applyBorder="1" applyAlignment="1">
      <alignment horizontal="center" vertical="center" wrapText="1"/>
    </xf>
    <xf numFmtId="0" fontId="23" fillId="8" borderId="0" xfId="1" applyFont="1" applyFill="1" applyBorder="1" applyAlignment="1">
      <alignment horizontal="center" vertical="center" wrapText="1"/>
    </xf>
    <xf numFmtId="0" fontId="28" fillId="0" borderId="24" xfId="7" applyNumberFormat="1" applyFont="1" applyFill="1" applyBorder="1" applyAlignment="1">
      <alignment horizontal="center" vertical="center" wrapText="1"/>
    </xf>
    <xf numFmtId="164" fontId="12" fillId="0" borderId="77" xfId="6" applyFont="1" applyFill="1" applyBorder="1" applyAlignment="1">
      <alignment horizontal="left" wrapText="1" indent="1"/>
    </xf>
    <xf numFmtId="164" fontId="13" fillId="0" borderId="31" xfId="6" applyFont="1" applyFill="1" applyBorder="1" applyAlignment="1">
      <alignment horizontal="left" wrapText="1" indent="1"/>
    </xf>
    <xf numFmtId="0" fontId="23" fillId="0" borderId="79" xfId="7" applyNumberFormat="1" applyFont="1" applyFill="1" applyBorder="1" applyAlignment="1">
      <alignment horizontal="center" vertical="center" wrapText="1"/>
    </xf>
    <xf numFmtId="164" fontId="12" fillId="0" borderId="74" xfId="6" applyFont="1" applyFill="1" applyBorder="1" applyAlignment="1">
      <alignment horizontal="left" wrapText="1" indent="1"/>
    </xf>
    <xf numFmtId="164" fontId="8" fillId="0" borderId="0" xfId="8" applyFont="1" applyBorder="1" applyAlignment="1">
      <alignment horizontal="left" wrapText="1" indent="1"/>
    </xf>
    <xf numFmtId="164" fontId="8" fillId="0" borderId="5" xfId="8" applyFont="1" applyBorder="1" applyAlignment="1">
      <alignment horizontal="left" wrapText="1" indent="1"/>
    </xf>
    <xf numFmtId="0" fontId="18" fillId="0" borderId="80" xfId="7" applyNumberFormat="1" applyFont="1" applyFill="1" applyBorder="1">
      <alignment horizontal="left" vertical="top" wrapText="1" indent="1"/>
    </xf>
    <xf numFmtId="0" fontId="18" fillId="0" borderId="81" xfId="7" applyNumberFormat="1" applyFont="1" applyFill="1" applyBorder="1">
      <alignment horizontal="left" vertical="top" wrapText="1" indent="1"/>
    </xf>
    <xf numFmtId="0" fontId="16" fillId="0" borderId="72" xfId="9" applyNumberFormat="1" applyFont="1" applyBorder="1">
      <alignment horizontal="left" vertical="top" wrapText="1" indent="1"/>
    </xf>
    <xf numFmtId="0" fontId="16" fillId="0" borderId="73" xfId="9" applyNumberFormat="1" applyFont="1" applyBorder="1">
      <alignment horizontal="left" vertical="top" wrapText="1" indent="1"/>
    </xf>
    <xf numFmtId="0" fontId="16" fillId="0" borderId="82" xfId="7" applyNumberFormat="1" applyFont="1" applyFill="1" applyBorder="1">
      <alignment horizontal="left" vertical="top" wrapText="1" indent="1"/>
    </xf>
    <xf numFmtId="0" fontId="16" fillId="0" borderId="76" xfId="7" applyNumberFormat="1" applyFont="1" applyFill="1" applyBorder="1">
      <alignment horizontal="left" vertical="top" wrapText="1" indent="1"/>
    </xf>
    <xf numFmtId="0" fontId="20" fillId="0" borderId="83" xfId="7" applyNumberFormat="1" applyFont="1" applyFill="1" applyBorder="1" applyAlignment="1">
      <alignment horizontal="center" vertical="center" wrapText="1"/>
    </xf>
    <xf numFmtId="0" fontId="23" fillId="0" borderId="76" xfId="7" applyNumberFormat="1" applyFont="1" applyFill="1" applyBorder="1" applyAlignment="1">
      <alignment horizontal="left" vertical="center" wrapText="1" indent="1"/>
    </xf>
    <xf numFmtId="0" fontId="23" fillId="0" borderId="54" xfId="7" applyNumberFormat="1" applyFont="1" applyFill="1" applyBorder="1" applyAlignment="1">
      <alignment horizontal="center" vertical="center" wrapText="1"/>
    </xf>
    <xf numFmtId="0" fontId="23" fillId="0" borderId="84" xfId="7" applyNumberFormat="1" applyFont="1" applyFill="1" applyBorder="1" applyAlignment="1">
      <alignment horizontal="center" vertical="center" wrapText="1"/>
    </xf>
    <xf numFmtId="0" fontId="20" fillId="0" borderId="76" xfId="7" applyNumberFormat="1" applyFont="1" applyFill="1" applyBorder="1" applyAlignment="1">
      <alignment horizontal="left" vertical="center" wrapText="1" indent="1"/>
    </xf>
    <xf numFmtId="164" fontId="31" fillId="0" borderId="0" xfId="8" applyFont="1" applyBorder="1" applyAlignment="1">
      <alignment horizontal="left" wrapText="1" indent="1"/>
    </xf>
    <xf numFmtId="164" fontId="31" fillId="0" borderId="85" xfId="8" applyFont="1" applyBorder="1" applyAlignment="1">
      <alignment horizontal="left" wrapText="1" indent="1"/>
    </xf>
    <xf numFmtId="164" fontId="31" fillId="0" borderId="86" xfId="8" applyFont="1" applyBorder="1" applyAlignment="1">
      <alignment horizontal="left" wrapText="1" indent="1"/>
    </xf>
    <xf numFmtId="0" fontId="16" fillId="0" borderId="80" xfId="7" applyNumberFormat="1" applyFont="1" applyFill="1" applyBorder="1">
      <alignment horizontal="left" vertical="top" wrapText="1" indent="1"/>
    </xf>
    <xf numFmtId="0" fontId="16" fillId="0" borderId="81" xfId="7" applyNumberFormat="1" applyFont="1" applyFill="1" applyBorder="1">
      <alignment horizontal="left" vertical="top" wrapText="1" indent="1"/>
    </xf>
    <xf numFmtId="0" fontId="23" fillId="0" borderId="82" xfId="7" applyNumberFormat="1" applyFont="1" applyFill="1" applyBorder="1" applyAlignment="1">
      <alignment horizontal="left" vertical="center" wrapText="1" indent="1"/>
    </xf>
    <xf numFmtId="0" fontId="23" fillId="0" borderId="83" xfId="7" applyNumberFormat="1" applyFont="1" applyFill="1" applyBorder="1" applyAlignment="1">
      <alignment horizontal="left" vertical="center" wrapText="1" indent="1"/>
    </xf>
    <xf numFmtId="0" fontId="16" fillId="0" borderId="79" xfId="7" applyNumberFormat="1" applyFont="1" applyFill="1" applyBorder="1">
      <alignment horizontal="left" vertical="top" wrapText="1" indent="1"/>
    </xf>
    <xf numFmtId="0" fontId="23" fillId="0" borderId="79" xfId="7" applyNumberFormat="1" applyFont="1" applyFill="1" applyBorder="1" applyAlignment="1">
      <alignment horizontal="left" vertical="center" wrapText="1" indent="1"/>
    </xf>
    <xf numFmtId="0" fontId="23" fillId="0" borderId="33" xfId="7" applyNumberFormat="1" applyFont="1" applyFill="1" applyBorder="1" applyAlignment="1">
      <alignment horizontal="center" vertical="center" wrapText="1"/>
    </xf>
    <xf numFmtId="0" fontId="23" fillId="0" borderId="18" xfId="7" applyNumberFormat="1" applyFont="1" applyFill="1" applyBorder="1" applyAlignment="1">
      <alignment horizontal="left" vertical="center" wrapText="1" indent="1"/>
    </xf>
    <xf numFmtId="0" fontId="20" fillId="0" borderId="24" xfId="7" applyNumberFormat="1" applyFont="1" applyFill="1" applyBorder="1" applyAlignment="1">
      <alignment horizontal="left" vertical="center" wrapText="1" indent="1"/>
    </xf>
    <xf numFmtId="0" fontId="32" fillId="0" borderId="83" xfId="7" applyNumberFormat="1" applyFont="1" applyFill="1" applyBorder="1" applyAlignment="1">
      <alignment horizontal="left" vertical="center" wrapText="1" indent="1"/>
    </xf>
    <xf numFmtId="164" fontId="33" fillId="0" borderId="77" xfId="6" applyFont="1" applyFill="1" applyBorder="1" applyAlignment="1">
      <alignment horizontal="left" wrapText="1" indent="1"/>
    </xf>
    <xf numFmtId="164" fontId="33" fillId="0" borderId="31" xfId="6" applyFont="1" applyFill="1" applyBorder="1" applyAlignment="1">
      <alignment horizontal="left" wrapText="1" indent="1"/>
    </xf>
    <xf numFmtId="0" fontId="16" fillId="0" borderId="76" xfId="7" applyNumberFormat="1" applyFont="1" applyFill="1" applyBorder="1" applyAlignment="1">
      <alignment horizontal="left" vertical="center" wrapText="1" indent="1"/>
    </xf>
    <xf numFmtId="0" fontId="34" fillId="0" borderId="33" xfId="7" applyNumberFormat="1" applyFont="1" applyFill="1" applyBorder="1" applyAlignment="1">
      <alignment horizontal="center" vertical="center" wrapText="1"/>
    </xf>
    <xf numFmtId="164" fontId="16" fillId="0" borderId="0" xfId="8" applyFont="1" applyBorder="1" applyAlignment="1">
      <alignment wrapText="1"/>
    </xf>
    <xf numFmtId="164" fontId="16" fillId="0" borderId="85" xfId="8" applyFont="1" applyBorder="1" applyAlignment="1">
      <alignment wrapText="1"/>
    </xf>
    <xf numFmtId="164" fontId="16" fillId="0" borderId="86" xfId="8" applyFont="1" applyBorder="1" applyAlignment="1">
      <alignment wrapText="1"/>
    </xf>
    <xf numFmtId="0" fontId="23" fillId="0" borderId="80" xfId="7" applyNumberFormat="1" applyFont="1" applyFill="1" applyBorder="1" applyAlignment="1">
      <alignment horizontal="center" vertical="center" wrapText="1"/>
    </xf>
    <xf numFmtId="0" fontId="3" fillId="0" borderId="0" xfId="9" applyNumberFormat="1" applyFont="1" applyAlignment="1">
      <alignment horizontal="center" vertical="center" wrapText="1"/>
    </xf>
    <xf numFmtId="164" fontId="26" fillId="0" borderId="78" xfId="6" applyFont="1" applyFill="1" applyBorder="1" applyAlignment="1">
      <alignment horizontal="left" wrapText="1" indent="1"/>
    </xf>
    <xf numFmtId="0" fontId="23" fillId="0" borderId="76" xfId="7" applyNumberFormat="1" applyFont="1" applyFill="1" applyBorder="1">
      <alignment horizontal="left" vertical="top" wrapText="1" indent="1"/>
    </xf>
    <xf numFmtId="164" fontId="16" fillId="0" borderId="0" xfId="8" applyFont="1" applyBorder="1" applyAlignment="1">
      <alignment vertical="center" wrapText="1"/>
    </xf>
    <xf numFmtId="164" fontId="16" fillId="0" borderId="85" xfId="8" applyFont="1" applyBorder="1" applyAlignment="1">
      <alignment vertical="center" wrapText="1"/>
    </xf>
    <xf numFmtId="164" fontId="16" fillId="0" borderId="86" xfId="8" applyFont="1" applyBorder="1" applyAlignment="1">
      <alignment vertical="center" wrapText="1"/>
    </xf>
    <xf numFmtId="0" fontId="23" fillId="0" borderId="18" xfId="7" applyNumberFormat="1" applyFont="1" applyFill="1" applyBorder="1" applyAlignment="1">
      <alignment horizontal="center" vertical="center" wrapText="1"/>
    </xf>
    <xf numFmtId="0" fontId="23" fillId="0" borderId="76" xfId="7" applyNumberFormat="1" applyFont="1" applyFill="1" applyBorder="1" applyAlignment="1">
      <alignment horizontal="center" vertical="center" wrapText="1"/>
    </xf>
    <xf numFmtId="0" fontId="23" fillId="0" borderId="24" xfId="7" applyNumberFormat="1" applyFont="1" applyFill="1" applyBorder="1" applyAlignment="1">
      <alignment horizontal="left" vertical="center" wrapText="1" indent="1"/>
    </xf>
    <xf numFmtId="164" fontId="15" fillId="0" borderId="78" xfId="6" applyFont="1" applyFill="1" applyBorder="1" applyAlignment="1">
      <alignment horizontal="left" wrapText="1" indent="1"/>
    </xf>
    <xf numFmtId="0" fontId="23" fillId="0" borderId="83" xfId="7" applyNumberFormat="1" applyFont="1" applyFill="1" applyBorder="1" applyAlignment="1">
      <alignment horizontal="center" vertical="center" wrapText="1"/>
    </xf>
    <xf numFmtId="0" fontId="20" fillId="0" borderId="83" xfId="7" applyNumberFormat="1" applyFont="1" applyFill="1" applyBorder="1" applyAlignment="1">
      <alignment horizontal="left" vertical="center" wrapText="1" indent="1"/>
    </xf>
    <xf numFmtId="0" fontId="35" fillId="0" borderId="83" xfId="7" applyNumberFormat="1" applyFont="1" applyFill="1" applyBorder="1" applyAlignment="1">
      <alignment horizontal="left" vertical="center" wrapText="1" indent="1"/>
    </xf>
    <xf numFmtId="0" fontId="36" fillId="0" borderId="76" xfId="7" applyNumberFormat="1" applyFont="1" applyFill="1" applyBorder="1" applyAlignment="1">
      <alignment horizontal="left" vertical="center" wrapText="1" indent="1"/>
    </xf>
    <xf numFmtId="0" fontId="37" fillId="4" borderId="2" xfId="3" applyFont="1" applyFill="1" applyBorder="1" applyAlignment="1">
      <alignment vertical="center"/>
    </xf>
    <xf numFmtId="0" fontId="37" fillId="4" borderId="2" xfId="3" applyFont="1" applyFill="1" applyBorder="1" applyAlignment="1"/>
    <xf numFmtId="0" fontId="16" fillId="0" borderId="4" xfId="7" applyNumberFormat="1" applyFont="1" applyFill="1" applyBorder="1">
      <alignment horizontal="left" vertical="top" wrapText="1" indent="1"/>
    </xf>
    <xf numFmtId="0" fontId="16" fillId="0" borderId="74" xfId="7" applyNumberFormat="1" applyFont="1" applyFill="1" applyBorder="1">
      <alignment horizontal="left" vertical="top" wrapText="1" indent="1"/>
    </xf>
    <xf numFmtId="0" fontId="16" fillId="0" borderId="74" xfId="7" applyNumberFormat="1" applyFont="1" applyFill="1" applyBorder="1" applyAlignment="1">
      <alignment horizontal="center" wrapText="1"/>
    </xf>
    <xf numFmtId="0" fontId="23" fillId="0" borderId="74" xfId="7" applyNumberFormat="1" applyFont="1" applyFill="1" applyBorder="1" applyAlignment="1">
      <alignment horizontal="left" vertical="center" wrapText="1" indent="1"/>
    </xf>
    <xf numFmtId="0" fontId="16" fillId="0" borderId="87" xfId="7" applyNumberFormat="1" applyFont="1" applyFill="1" applyBorder="1">
      <alignment horizontal="left" vertical="top" wrapText="1" indent="1"/>
    </xf>
    <xf numFmtId="0" fontId="35" fillId="0" borderId="82" xfId="7" applyNumberFormat="1" applyFont="1" applyFill="1" applyBorder="1" applyAlignment="1">
      <alignment horizontal="left" vertical="center" wrapText="1" indent="1"/>
    </xf>
    <xf numFmtId="0" fontId="20" fillId="0" borderId="24" xfId="7" applyNumberFormat="1" applyFont="1" applyFill="1" applyBorder="1">
      <alignment horizontal="left" vertical="top" wrapText="1" indent="1"/>
    </xf>
    <xf numFmtId="0" fontId="18" fillId="0" borderId="76" xfId="7" applyNumberFormat="1" applyFont="1" applyFill="1" applyBorder="1">
      <alignment horizontal="left" vertical="top" wrapText="1" indent="1"/>
    </xf>
    <xf numFmtId="0" fontId="23" fillId="0" borderId="17" xfId="7" applyNumberFormat="1" applyFont="1" applyFill="1" applyAlignment="1">
      <alignment horizontal="center" vertical="center" wrapText="1"/>
    </xf>
    <xf numFmtId="0" fontId="20" fillId="0" borderId="5" xfId="7" applyNumberFormat="1" applyFont="1" applyFill="1" applyBorder="1" applyAlignment="1">
      <alignment horizontal="center" vertical="center" wrapText="1"/>
    </xf>
    <xf numFmtId="164" fontId="13" fillId="0" borderId="77" xfId="6" applyFont="1" applyFill="1" applyBorder="1" applyAlignment="1">
      <alignment horizontal="left" wrapText="1" indent="1"/>
    </xf>
    <xf numFmtId="0" fontId="18" fillId="0" borderId="24" xfId="7" applyNumberFormat="1" applyFont="1" applyFill="1" applyBorder="1">
      <alignment horizontal="left" vertical="top" wrapText="1" indent="1"/>
    </xf>
    <xf numFmtId="164" fontId="12" fillId="0" borderId="88" xfId="6" applyFont="1" applyFill="1" applyBorder="1" applyAlignment="1">
      <alignment horizontal="left" wrapText="1" indent="1"/>
    </xf>
    <xf numFmtId="164" fontId="12" fillId="0" borderId="89" xfId="6" applyFont="1" applyFill="1" applyBorder="1" applyAlignment="1">
      <alignment horizontal="left" wrapText="1" indent="1"/>
    </xf>
    <xf numFmtId="164" fontId="14" fillId="0" borderId="89" xfId="6" applyFont="1" applyFill="1" applyBorder="1" applyAlignment="1">
      <alignment horizontal="left" wrapText="1" indent="1"/>
    </xf>
    <xf numFmtId="164" fontId="22" fillId="0" borderId="89" xfId="6" applyFont="1" applyFill="1" applyBorder="1" applyAlignment="1">
      <alignment horizontal="left" wrapText="1" indent="1"/>
    </xf>
    <xf numFmtId="164" fontId="15" fillId="0" borderId="89" xfId="6" applyFont="1" applyFill="1" applyBorder="1" applyAlignment="1">
      <alignment horizontal="left" wrapText="1" indent="1"/>
    </xf>
    <xf numFmtId="164" fontId="22" fillId="0" borderId="86" xfId="6" applyFont="1" applyFill="1" applyBorder="1" applyAlignment="1">
      <alignment horizontal="left" wrapText="1" indent="1"/>
    </xf>
    <xf numFmtId="0" fontId="16" fillId="0" borderId="90" xfId="7" applyNumberFormat="1" applyFont="1" applyFill="1" applyBorder="1">
      <alignment horizontal="left" vertical="top" wrapText="1" indent="1"/>
    </xf>
    <xf numFmtId="0" fontId="16" fillId="0" borderId="17" xfId="7" applyNumberFormat="1" applyFont="1" applyFill="1">
      <alignment horizontal="left" vertical="top" wrapText="1" indent="1"/>
    </xf>
    <xf numFmtId="0" fontId="20" fillId="0" borderId="17" xfId="7" applyNumberFormat="1" applyFont="1" applyFill="1" applyAlignment="1">
      <alignment horizontal="center" vertical="center" wrapText="1"/>
    </xf>
    <xf numFmtId="164" fontId="26" fillId="0" borderId="91" xfId="6" applyFont="1" applyFill="1" applyBorder="1" applyAlignment="1">
      <alignment horizontal="left" wrapText="1" indent="1"/>
    </xf>
    <xf numFmtId="164" fontId="22" fillId="0" borderId="10" xfId="6" applyFont="1" applyFill="1" applyAlignment="1">
      <alignment horizontal="left" wrapText="1" indent="1"/>
    </xf>
    <xf numFmtId="164" fontId="15" fillId="0" borderId="10" xfId="6" applyFont="1" applyFill="1" applyAlignment="1">
      <alignment horizontal="left" wrapText="1" indent="1"/>
    </xf>
    <xf numFmtId="164" fontId="15" fillId="0" borderId="92" xfId="6" applyFont="1" applyFill="1" applyBorder="1" applyAlignment="1">
      <alignment horizontal="left" wrapText="1" indent="1"/>
    </xf>
    <xf numFmtId="164" fontId="26" fillId="0" borderId="10" xfId="6" applyFont="1" applyFill="1" applyAlignment="1">
      <alignment horizontal="left" wrapText="1" indent="1"/>
    </xf>
    <xf numFmtId="164" fontId="14" fillId="0" borderId="10" xfId="6" applyFont="1" applyFill="1" applyAlignment="1">
      <alignment horizontal="left" wrapText="1" indent="1"/>
    </xf>
    <xf numFmtId="0" fontId="20" fillId="0" borderId="86" xfId="7" applyNumberFormat="1" applyFont="1" applyFill="1" applyBorder="1">
      <alignment horizontal="left" vertical="top" wrapText="1" indent="1"/>
    </xf>
    <xf numFmtId="164" fontId="14" fillId="0" borderId="91" xfId="6" applyFont="1" applyFill="1" applyBorder="1" applyAlignment="1">
      <alignment horizontal="left" wrapText="1" indent="1"/>
    </xf>
    <xf numFmtId="0" fontId="20" fillId="0" borderId="90" xfId="7" applyNumberFormat="1" applyFont="1" applyFill="1" applyBorder="1" applyAlignment="1">
      <alignment horizontal="center" vertical="center" wrapText="1"/>
    </xf>
    <xf numFmtId="0" fontId="23" fillId="8" borderId="76" xfId="7" applyNumberFormat="1" applyFont="1" applyFill="1" applyBorder="1" applyAlignment="1">
      <alignment horizontal="center" vertical="center" wrapText="1"/>
    </xf>
    <xf numFmtId="164" fontId="13" fillId="0" borderId="92" xfId="6" applyFont="1" applyFill="1" applyBorder="1" applyAlignment="1">
      <alignment horizontal="left" wrapText="1" indent="1"/>
    </xf>
    <xf numFmtId="164" fontId="12" fillId="0" borderId="91" xfId="6" applyFont="1" applyFill="1" applyBorder="1" applyAlignment="1">
      <alignment horizontal="left" wrapText="1" indent="1"/>
    </xf>
    <xf numFmtId="164" fontId="12" fillId="0" borderId="10" xfId="6" applyFont="1" applyFill="1" applyAlignment="1">
      <alignment horizontal="left" wrapText="1" indent="1"/>
    </xf>
    <xf numFmtId="164" fontId="16" fillId="0" borderId="68" xfId="8" applyFont="1" applyAlignment="1">
      <alignment wrapText="1"/>
    </xf>
    <xf numFmtId="164" fontId="8" fillId="0" borderId="68" xfId="8" applyFont="1" applyAlignment="1">
      <alignment wrapText="1"/>
    </xf>
    <xf numFmtId="164" fontId="8" fillId="0" borderId="93" xfId="8" applyFont="1" applyBorder="1" applyAlignment="1">
      <alignment wrapText="1"/>
    </xf>
    <xf numFmtId="0" fontId="16" fillId="0" borderId="94" xfId="7" applyNumberFormat="1" applyFont="1" applyFill="1" applyBorder="1">
      <alignment horizontal="left" vertical="top" wrapText="1" indent="1"/>
    </xf>
    <xf numFmtId="0" fontId="16" fillId="0" borderId="95" xfId="7" applyNumberFormat="1" applyFont="1" applyFill="1" applyBorder="1">
      <alignment horizontal="left" vertical="top" wrapText="1" indent="1"/>
    </xf>
    <xf numFmtId="0" fontId="16" fillId="0" borderId="72" xfId="9" applyNumberFormat="1" applyFont="1" applyBorder="1" applyAlignment="1">
      <alignment vertical="top" wrapText="1"/>
    </xf>
    <xf numFmtId="0" fontId="16" fillId="0" borderId="73" xfId="9" applyNumberFormat="1" applyFont="1" applyBorder="1" applyAlignment="1">
      <alignment vertical="top" wrapText="1"/>
    </xf>
    <xf numFmtId="0" fontId="38" fillId="4" borderId="2" xfId="3" applyFont="1" applyFill="1" applyBorder="1" applyAlignment="1">
      <alignment vertical="center"/>
    </xf>
    <xf numFmtId="0" fontId="39" fillId="4" borderId="2" xfId="3" applyFont="1" applyFill="1" applyBorder="1" applyAlignment="1"/>
    <xf numFmtId="0" fontId="23" fillId="0" borderId="90" xfId="7" applyNumberFormat="1" applyFont="1" applyFill="1" applyBorder="1" applyAlignment="1">
      <alignment horizontal="center" vertical="center" wrapText="1"/>
    </xf>
    <xf numFmtId="164" fontId="16" fillId="0" borderId="68" xfId="8" applyFont="1" applyAlignment="1">
      <alignment vertical="center" wrapText="1"/>
    </xf>
    <xf numFmtId="164" fontId="16" fillId="0" borderId="93" xfId="8" applyFont="1" applyBorder="1" applyAlignment="1">
      <alignment vertical="center" wrapText="1"/>
    </xf>
    <xf numFmtId="0" fontId="39" fillId="4" borderId="2" xfId="3" applyFont="1" applyFill="1" applyBorder="1" applyAlignment="1">
      <alignment vertical="center"/>
    </xf>
    <xf numFmtId="0" fontId="23" fillId="0" borderId="74" xfId="7" applyNumberFormat="1" applyFont="1" applyFill="1" applyBorder="1">
      <alignment horizontal="left" vertical="top" wrapText="1" indent="1"/>
    </xf>
    <xf numFmtId="0" fontId="20" fillId="0" borderId="5" xfId="7" applyNumberFormat="1" applyFont="1" applyFill="1" applyBorder="1">
      <alignment horizontal="left" vertical="top" wrapText="1" indent="1"/>
    </xf>
    <xf numFmtId="0" fontId="20" fillId="0" borderId="79" xfId="7" applyNumberFormat="1" applyFont="1" applyFill="1" applyBorder="1" applyAlignment="1">
      <alignment horizontal="center" vertical="center" wrapText="1"/>
    </xf>
    <xf numFmtId="164" fontId="12" fillId="0" borderId="31" xfId="6" applyFont="1" applyFill="1" applyBorder="1" applyAlignment="1">
      <alignment horizontal="left" wrapText="1" indent="1"/>
    </xf>
    <xf numFmtId="164" fontId="12" fillId="0" borderId="80" xfId="6" applyFont="1" applyFill="1" applyBorder="1" applyAlignment="1">
      <alignment horizontal="left" vertical="top" wrapText="1" indent="1"/>
    </xf>
    <xf numFmtId="164" fontId="12" fillId="0" borderId="81" xfId="6" applyFont="1" applyFill="1" applyBorder="1" applyAlignment="1">
      <alignment horizontal="left" vertical="top" wrapText="1" indent="1"/>
    </xf>
    <xf numFmtId="0" fontId="40" fillId="0" borderId="72" xfId="9" applyNumberFormat="1" applyFont="1" applyBorder="1" applyAlignment="1">
      <alignment vertical="top" wrapText="1"/>
    </xf>
    <xf numFmtId="0" fontId="16" fillId="0" borderId="0" xfId="7" applyNumberFormat="1" applyFont="1" applyFill="1" applyBorder="1">
      <alignment horizontal="left" vertical="top" wrapText="1" indent="1"/>
    </xf>
    <xf numFmtId="0" fontId="16" fillId="0" borderId="0" xfId="9" applyNumberFormat="1" applyFont="1">
      <alignment horizontal="left" vertical="top" wrapText="1" indent="1"/>
    </xf>
    <xf numFmtId="0" fontId="16" fillId="0" borderId="5" xfId="9" applyNumberFormat="1" applyFont="1" applyBorder="1">
      <alignment horizontal="left" vertical="top" wrapText="1" indent="1"/>
    </xf>
    <xf numFmtId="0" fontId="3" fillId="0" borderId="4" xfId="7" applyNumberFormat="1" applyFont="1" applyFill="1" applyBorder="1">
      <alignment horizontal="left" vertical="top" wrapText="1" indent="1"/>
    </xf>
    <xf numFmtId="0" fontId="3" fillId="0" borderId="5" xfId="9" applyNumberFormat="1" applyFont="1" applyBorder="1">
      <alignment horizontal="left" vertical="top" wrapText="1" indent="1"/>
    </xf>
    <xf numFmtId="0" fontId="41" fillId="4" borderId="96" xfId="2" applyFont="1" applyFill="1" applyBorder="1" applyAlignment="1">
      <alignment horizontal="center" vertical="center"/>
    </xf>
    <xf numFmtId="0" fontId="5" fillId="4" borderId="97" xfId="3" applyFont="1" applyFill="1" applyBorder="1" applyAlignment="1">
      <alignment vertical="center"/>
    </xf>
    <xf numFmtId="0" fontId="5" fillId="4" borderId="97" xfId="3" applyFont="1" applyFill="1" applyBorder="1" applyAlignment="1"/>
    <xf numFmtId="0" fontId="7" fillId="4" borderId="97" xfId="3" applyFont="1" applyFill="1" applyBorder="1" applyAlignment="1">
      <alignment horizontal="center" vertical="center" wrapText="1"/>
    </xf>
    <xf numFmtId="0" fontId="7" fillId="4" borderId="98" xfId="3" applyFont="1" applyFill="1" applyBorder="1" applyAlignment="1">
      <alignment horizontal="center" vertical="center" wrapText="1"/>
    </xf>
    <xf numFmtId="164" fontId="26" fillId="0" borderId="86" xfId="6" applyFont="1" applyFill="1" applyBorder="1" applyAlignment="1">
      <alignment horizontal="left" wrapText="1" indent="1"/>
    </xf>
    <xf numFmtId="0" fontId="20" fillId="0" borderId="85" xfId="7" applyNumberFormat="1" applyFont="1" applyFill="1" applyBorder="1" applyAlignment="1">
      <alignment horizontal="left" vertical="center" wrapText="1" indent="1"/>
    </xf>
    <xf numFmtId="0" fontId="23" fillId="0" borderId="17" xfId="7" applyNumberFormat="1" applyFont="1" applyFill="1" applyAlignment="1">
      <alignment horizontal="left" vertical="center" wrapText="1" indent="1"/>
    </xf>
    <xf numFmtId="0" fontId="23" fillId="0" borderId="90" xfId="7" applyNumberFormat="1" applyFont="1" applyFill="1" applyBorder="1" applyAlignment="1">
      <alignment horizontal="left" vertical="center" wrapText="1" indent="1"/>
    </xf>
    <xf numFmtId="164" fontId="14" fillId="0" borderId="91" xfId="6" applyFont="1" applyFill="1" applyBorder="1" applyAlignment="1">
      <alignment horizontal="left" wrapText="1"/>
    </xf>
    <xf numFmtId="164" fontId="26" fillId="0" borderId="10" xfId="6" applyFont="1" applyFill="1" applyAlignment="1">
      <alignment horizontal="left" wrapText="1"/>
    </xf>
    <xf numFmtId="164" fontId="15" fillId="0" borderId="10" xfId="6" applyFont="1" applyFill="1" applyAlignment="1">
      <alignment horizontal="left" wrapText="1"/>
    </xf>
    <xf numFmtId="164" fontId="15" fillId="0" borderId="92" xfId="6" applyFont="1" applyFill="1" applyBorder="1" applyAlignment="1">
      <alignment horizontal="left" wrapText="1"/>
    </xf>
    <xf numFmtId="0" fontId="14" fillId="0" borderId="0" xfId="1" applyFont="1" applyAlignment="1">
      <alignment horizontal="left"/>
    </xf>
    <xf numFmtId="164" fontId="42" fillId="0" borderId="10" xfId="6" applyFont="1" applyFill="1" applyAlignment="1">
      <alignment horizontal="left" wrapText="1" indent="1"/>
    </xf>
    <xf numFmtId="0" fontId="27" fillId="0" borderId="90" xfId="7" applyNumberFormat="1" applyFont="1" applyFill="1" applyBorder="1" applyAlignment="1">
      <alignment horizontal="center" vertical="center" wrapText="1"/>
    </xf>
    <xf numFmtId="0" fontId="43" fillId="0" borderId="17" xfId="7" applyNumberFormat="1" applyFont="1" applyFill="1" applyAlignment="1">
      <alignment horizontal="left" vertical="center" wrapText="1" indent="1"/>
    </xf>
    <xf numFmtId="0" fontId="23" fillId="0" borderId="86" xfId="7" applyNumberFormat="1" applyFont="1" applyFill="1" applyBorder="1" applyAlignment="1">
      <alignment horizontal="left" vertical="center" wrapText="1" indent="1"/>
    </xf>
    <xf numFmtId="164" fontId="12" fillId="0" borderId="92" xfId="6" applyFont="1" applyFill="1" applyBorder="1" applyAlignment="1">
      <alignment horizontal="left" wrapText="1" indent="1"/>
    </xf>
    <xf numFmtId="0" fontId="27" fillId="0" borderId="90" xfId="7" applyNumberFormat="1" applyFont="1" applyFill="1" applyBorder="1" applyAlignment="1">
      <alignment horizontal="left" vertical="center" wrapText="1" indent="1"/>
    </xf>
    <xf numFmtId="0" fontId="16" fillId="0" borderId="99" xfId="7" applyNumberFormat="1" applyFont="1" applyFill="1" applyBorder="1">
      <alignment horizontal="left" vertical="top" wrapText="1" indent="1"/>
    </xf>
    <xf numFmtId="0" fontId="23" fillId="0" borderId="94" xfId="7" applyNumberFormat="1" applyFont="1" applyFill="1" applyBorder="1" applyAlignment="1">
      <alignment horizontal="left" vertical="center" wrapText="1" indent="1"/>
    </xf>
    <xf numFmtId="0" fontId="23" fillId="0" borderId="95" xfId="7" applyNumberFormat="1" applyFont="1" applyFill="1" applyBorder="1" applyAlignment="1">
      <alignment horizontal="left" vertical="center" wrapText="1" indent="1"/>
    </xf>
    <xf numFmtId="0" fontId="39" fillId="4" borderId="1" xfId="2" applyFont="1" applyFill="1" applyBorder="1" applyAlignment="1">
      <alignment horizontal="center" vertical="center"/>
    </xf>
    <xf numFmtId="0" fontId="35" fillId="0" borderId="0" xfId="1" applyFont="1" applyBorder="1" applyAlignment="1">
      <alignment horizontal="center" vertical="center" wrapText="1"/>
    </xf>
    <xf numFmtId="0" fontId="35" fillId="0" borderId="33" xfId="7" applyNumberFormat="1" applyFont="1" applyFill="1" applyBorder="1" applyAlignment="1">
      <alignment horizontal="center" vertical="center" wrapText="1"/>
    </xf>
    <xf numFmtId="164" fontId="12" fillId="0" borderId="78" xfId="6" applyFont="1" applyFill="1" applyBorder="1" applyAlignment="1">
      <alignment horizontal="left" wrapText="1" indent="1"/>
    </xf>
    <xf numFmtId="0" fontId="44" fillId="0" borderId="18" xfId="7" applyNumberFormat="1" applyFont="1" applyFill="1" applyBorder="1" applyAlignment="1">
      <alignment horizontal="left" vertical="center" wrapText="1" indent="1"/>
    </xf>
    <xf numFmtId="0" fontId="44" fillId="0" borderId="76" xfId="7" applyNumberFormat="1" applyFont="1" applyFill="1" applyBorder="1" applyAlignment="1">
      <alignment horizontal="left" vertical="center" wrapText="1" indent="1"/>
    </xf>
    <xf numFmtId="0" fontId="45" fillId="0" borderId="76" xfId="7" applyNumberFormat="1" applyFont="1" applyFill="1" applyBorder="1">
      <alignment horizontal="left" vertical="top" wrapText="1" indent="1"/>
    </xf>
    <xf numFmtId="164" fontId="18" fillId="0" borderId="100" xfId="8" applyFont="1" applyBorder="1" applyAlignment="1">
      <alignment horizontal="left" vertical="top" wrapText="1"/>
    </xf>
    <xf numFmtId="164" fontId="18" fillId="0" borderId="101" xfId="8" applyFont="1" applyBorder="1" applyAlignment="1">
      <alignment horizontal="left" vertical="top" wrapText="1"/>
    </xf>
    <xf numFmtId="164" fontId="8" fillId="0" borderId="0" xfId="8" applyFont="1" applyBorder="1" applyAlignment="1">
      <alignment horizontal="left" wrapText="1" indent="1"/>
    </xf>
    <xf numFmtId="164" fontId="8" fillId="0" borderId="5" xfId="8" applyFont="1" applyBorder="1" applyAlignment="1">
      <alignment horizontal="left" wrapText="1" indent="1"/>
    </xf>
    <xf numFmtId="1" fontId="41" fillId="4" borderId="1" xfId="2" applyNumberFormat="1" applyFont="1" applyFill="1" applyBorder="1" applyAlignment="1">
      <alignment horizontal="center" vertical="center"/>
    </xf>
    <xf numFmtId="0" fontId="23" fillId="0" borderId="11" xfId="7" applyNumberFormat="1" applyFont="1" applyFill="1" applyBorder="1" applyAlignment="1">
      <alignment horizontal="center" vertical="center" wrapText="1"/>
    </xf>
    <xf numFmtId="0" fontId="28" fillId="0" borderId="0" xfId="1" applyFont="1" applyBorder="1" applyAlignment="1">
      <alignment horizontal="center" vertical="center"/>
    </xf>
    <xf numFmtId="164" fontId="14" fillId="0" borderId="78" xfId="6" applyFont="1" applyFill="1" applyBorder="1">
      <alignment horizontal="left" vertical="center" wrapText="1" indent="1"/>
    </xf>
    <xf numFmtId="164" fontId="22" fillId="0" borderId="77" xfId="6" applyFont="1" applyFill="1" applyBorder="1">
      <alignment horizontal="left" vertical="center" wrapText="1" indent="1"/>
    </xf>
    <xf numFmtId="164" fontId="14" fillId="0" borderId="77" xfId="6" applyFont="1" applyFill="1" applyBorder="1">
      <alignment horizontal="left" vertical="center" wrapText="1" indent="1"/>
    </xf>
    <xf numFmtId="164" fontId="15" fillId="0" borderId="77" xfId="6" applyFont="1" applyFill="1" applyBorder="1">
      <alignment horizontal="left" vertical="center" wrapText="1" indent="1"/>
    </xf>
    <xf numFmtId="164" fontId="15" fillId="0" borderId="31" xfId="6" applyFont="1" applyFill="1" applyBorder="1">
      <alignment horizontal="left" vertical="center" wrapText="1" indent="1"/>
    </xf>
    <xf numFmtId="0" fontId="14" fillId="0" borderId="4" xfId="1" applyFont="1" applyBorder="1" applyAlignment="1">
      <alignment horizontal="left" vertical="top"/>
    </xf>
    <xf numFmtId="0" fontId="14" fillId="0" borderId="0" xfId="1" applyFont="1" applyBorder="1" applyAlignment="1">
      <alignment horizontal="left" vertical="top"/>
    </xf>
    <xf numFmtId="0" fontId="8" fillId="0" borderId="102" xfId="7" applyNumberFormat="1" applyFont="1" applyFill="1" applyBorder="1" applyAlignment="1">
      <alignment horizontal="left" vertical="top" wrapText="1"/>
    </xf>
    <xf numFmtId="0" fontId="8" fillId="0" borderId="103" xfId="7" applyNumberFormat="1" applyFont="1" applyFill="1" applyBorder="1" applyAlignment="1">
      <alignment horizontal="left" vertical="top" wrapText="1"/>
    </xf>
    <xf numFmtId="0" fontId="8" fillId="0" borderId="31" xfId="7" applyNumberFormat="1" applyFont="1" applyFill="1" applyBorder="1" applyAlignment="1">
      <alignment horizontal="left" vertical="top" wrapText="1"/>
    </xf>
    <xf numFmtId="0" fontId="14" fillId="0" borderId="0" xfId="1" applyFont="1"/>
    <xf numFmtId="0" fontId="8" fillId="0" borderId="104" xfId="7" applyNumberFormat="1" applyFont="1" applyFill="1" applyBorder="1" applyAlignment="1">
      <alignment horizontal="left" vertical="top" wrapText="1"/>
    </xf>
    <xf numFmtId="0" fontId="8" fillId="0" borderId="72" xfId="7" applyNumberFormat="1" applyFont="1" applyFill="1" applyBorder="1" applyAlignment="1">
      <alignment horizontal="left" vertical="top" wrapText="1"/>
    </xf>
    <xf numFmtId="0" fontId="8" fillId="0" borderId="73" xfId="7" applyNumberFormat="1" applyFont="1" applyFill="1" applyBorder="1" applyAlignment="1">
      <alignment horizontal="left" vertical="top" wrapText="1"/>
    </xf>
    <xf numFmtId="0" fontId="48" fillId="0" borderId="0" xfId="1" applyFont="1"/>
    <xf numFmtId="0" fontId="49" fillId="7" borderId="105" xfId="1" applyFont="1" applyFill="1" applyBorder="1" applyAlignment="1">
      <alignment horizontal="center"/>
    </xf>
    <xf numFmtId="0" fontId="49" fillId="7" borderId="106" xfId="1" applyFont="1" applyFill="1" applyBorder="1" applyAlignment="1">
      <alignment horizontal="center"/>
    </xf>
    <xf numFmtId="0" fontId="48" fillId="0" borderId="107" xfId="1" applyFont="1" applyBorder="1" applyAlignment="1">
      <alignment horizontal="center"/>
    </xf>
    <xf numFmtId="0" fontId="50" fillId="7" borderId="108" xfId="1" applyFont="1" applyFill="1" applyBorder="1" applyAlignment="1">
      <alignment horizontal="center"/>
    </xf>
    <xf numFmtId="0" fontId="50" fillId="7" borderId="109" xfId="1" applyFont="1" applyFill="1" applyBorder="1" applyAlignment="1">
      <alignment horizontal="center"/>
    </xf>
    <xf numFmtId="0" fontId="48" fillId="0" borderId="0" xfId="1" applyFont="1" applyAlignment="1">
      <alignment horizontal="center"/>
    </xf>
    <xf numFmtId="0" fontId="48" fillId="9" borderId="110" xfId="1" applyFont="1" applyFill="1" applyBorder="1" applyAlignment="1">
      <alignment horizontal="center"/>
    </xf>
    <xf numFmtId="0" fontId="48" fillId="9" borderId="111" xfId="1" applyFont="1" applyFill="1" applyBorder="1" applyAlignment="1">
      <alignment horizontal="center"/>
    </xf>
    <xf numFmtId="0" fontId="51" fillId="9" borderId="112" xfId="1" applyFont="1" applyFill="1" applyBorder="1" applyAlignment="1">
      <alignment horizontal="center"/>
    </xf>
    <xf numFmtId="0" fontId="48" fillId="0" borderId="110" xfId="1" applyFont="1" applyBorder="1"/>
    <xf numFmtId="0" fontId="48" fillId="0" borderId="111" xfId="1" applyFont="1" applyBorder="1"/>
    <xf numFmtId="0" fontId="48" fillId="0" borderId="112" xfId="1" applyFont="1" applyBorder="1"/>
    <xf numFmtId="0" fontId="48" fillId="0" borderId="113" xfId="1" applyFont="1" applyBorder="1"/>
    <xf numFmtId="0" fontId="48" fillId="0" borderId="114" xfId="1" applyFont="1" applyBorder="1"/>
    <xf numFmtId="0" fontId="48" fillId="0" borderId="115" xfId="1" applyFont="1" applyBorder="1"/>
    <xf numFmtId="0" fontId="2" fillId="0" borderId="0" xfId="1"/>
    <xf numFmtId="0" fontId="52" fillId="0" borderId="105" xfId="1" applyFont="1" applyBorder="1" applyAlignment="1">
      <alignment horizontal="center"/>
    </xf>
    <xf numFmtId="0" fontId="52" fillId="0" borderId="116" xfId="1" applyFont="1" applyBorder="1" applyAlignment="1">
      <alignment horizontal="center"/>
    </xf>
    <xf numFmtId="0" fontId="52" fillId="0" borderId="106" xfId="1" applyFont="1" applyBorder="1" applyAlignment="1">
      <alignment horizontal="center"/>
    </xf>
    <xf numFmtId="0" fontId="53" fillId="0" borderId="117" xfId="1" applyFont="1" applyBorder="1" applyAlignment="1">
      <alignment horizontal="center"/>
    </xf>
    <xf numFmtId="0" fontId="53" fillId="0" borderId="118" xfId="1" applyFont="1" applyBorder="1"/>
    <xf numFmtId="0" fontId="53" fillId="0" borderId="119" xfId="1" applyFont="1" applyBorder="1" applyAlignment="1">
      <alignment horizontal="center"/>
    </xf>
    <xf numFmtId="0" fontId="2" fillId="0" borderId="120" xfId="1" applyBorder="1" applyAlignment="1">
      <alignment horizontal="center"/>
    </xf>
    <xf numFmtId="0" fontId="2" fillId="0" borderId="121" xfId="1" applyBorder="1"/>
    <xf numFmtId="0" fontId="2" fillId="0" borderId="121" xfId="1" applyBorder="1" applyAlignment="1">
      <alignment horizontal="center"/>
    </xf>
    <xf numFmtId="0" fontId="53" fillId="0" borderId="122" xfId="1" applyFont="1" applyBorder="1" applyAlignment="1">
      <alignment horizontal="center"/>
    </xf>
    <xf numFmtId="0" fontId="2" fillId="0" borderId="123" xfId="1" applyBorder="1" applyAlignment="1">
      <alignment horizontal="center"/>
    </xf>
    <xf numFmtId="0" fontId="53" fillId="0" borderId="124" xfId="1" applyFont="1" applyBorder="1"/>
    <xf numFmtId="0" fontId="53" fillId="0" borderId="124" xfId="1" applyFont="1" applyBorder="1" applyAlignment="1">
      <alignment horizontal="center"/>
    </xf>
    <xf numFmtId="0" fontId="53" fillId="7" borderId="125" xfId="1" applyFont="1" applyFill="1" applyBorder="1" applyAlignment="1">
      <alignment horizontal="center"/>
    </xf>
    <xf numFmtId="0" fontId="54" fillId="0" borderId="0" xfId="1" applyFont="1"/>
    <xf numFmtId="0" fontId="55" fillId="10" borderId="107" xfId="1" applyFont="1" applyFill="1" applyBorder="1" applyAlignment="1">
      <alignment horizontal="center"/>
    </xf>
    <xf numFmtId="0" fontId="54" fillId="0" borderId="108" xfId="1" applyFont="1" applyBorder="1"/>
    <xf numFmtId="0" fontId="54" fillId="0" borderId="109" xfId="1" applyFont="1" applyBorder="1"/>
    <xf numFmtId="14" fontId="54" fillId="0" borderId="110" xfId="1" applyNumberFormat="1" applyFont="1" applyBorder="1"/>
    <xf numFmtId="0" fontId="54" fillId="0" borderId="111" xfId="1" applyFont="1" applyBorder="1"/>
    <xf numFmtId="0" fontId="54" fillId="0" borderId="112" xfId="1" applyFont="1" applyBorder="1"/>
    <xf numFmtId="0" fontId="54" fillId="0" borderId="110" xfId="1" applyFont="1" applyBorder="1"/>
    <xf numFmtId="0" fontId="55" fillId="10" borderId="110" xfId="1" applyFont="1" applyFill="1" applyBorder="1" applyAlignment="1">
      <alignment horizontal="center"/>
    </xf>
    <xf numFmtId="14" fontId="54" fillId="0" borderId="110" xfId="1" applyNumberFormat="1" applyFont="1" applyBorder="1" applyAlignment="1">
      <alignment horizontal="center"/>
    </xf>
    <xf numFmtId="0" fontId="54" fillId="0" borderId="112" xfId="1" applyFont="1" applyBorder="1" applyAlignment="1">
      <alignment horizontal="left"/>
    </xf>
    <xf numFmtId="0" fontId="54" fillId="0" borderId="110" xfId="1" applyFont="1" applyBorder="1" applyAlignment="1">
      <alignment horizontal="center"/>
    </xf>
    <xf numFmtId="14" fontId="54" fillId="7" borderId="110" xfId="1" applyNumberFormat="1" applyFont="1" applyFill="1" applyBorder="1" applyAlignment="1">
      <alignment horizontal="center"/>
    </xf>
    <xf numFmtId="0" fontId="54" fillId="7" borderId="111" xfId="1" applyFont="1" applyFill="1" applyBorder="1"/>
    <xf numFmtId="0" fontId="54" fillId="7" borderId="112" xfId="1" applyFont="1" applyFill="1" applyBorder="1"/>
    <xf numFmtId="14" fontId="54" fillId="0" borderId="111" xfId="1" applyNumberFormat="1" applyFont="1" applyBorder="1"/>
    <xf numFmtId="14" fontId="54" fillId="0" borderId="110" xfId="1" applyNumberFormat="1" applyFont="1" applyBorder="1" applyAlignment="1">
      <alignment horizontal="center"/>
    </xf>
    <xf numFmtId="14" fontId="54" fillId="0" borderId="111" xfId="1" applyNumberFormat="1" applyFont="1" applyBorder="1" applyAlignment="1">
      <alignment horizontal="center"/>
    </xf>
    <xf numFmtId="14" fontId="54" fillId="0" borderId="113" xfId="1" applyNumberFormat="1" applyFont="1" applyBorder="1"/>
    <xf numFmtId="0" fontId="54" fillId="0" borderId="114" xfId="1" applyFont="1" applyBorder="1"/>
    <xf numFmtId="0" fontId="54" fillId="0" borderId="115" xfId="1" applyFont="1" applyBorder="1"/>
    <xf numFmtId="0" fontId="56" fillId="11" borderId="107" xfId="1" applyFont="1" applyFill="1" applyBorder="1" applyAlignment="1">
      <alignment horizontal="center" vertical="center"/>
    </xf>
    <xf numFmtId="0" fontId="57" fillId="11" borderId="108" xfId="1" applyFont="1" applyFill="1" applyBorder="1" applyAlignment="1">
      <alignment horizontal="center" vertical="center"/>
    </xf>
    <xf numFmtId="0" fontId="52" fillId="11" borderId="109" xfId="1" applyFont="1" applyFill="1" applyBorder="1" applyAlignment="1">
      <alignment horizontal="center"/>
    </xf>
    <xf numFmtId="0" fontId="2" fillId="0" borderId="110" xfId="1" applyBorder="1" applyAlignment="1">
      <alignment horizontal="center"/>
    </xf>
    <xf numFmtId="0" fontId="2" fillId="0" borderId="111" xfId="1" applyBorder="1" applyAlignment="1">
      <alignment horizontal="center"/>
    </xf>
    <xf numFmtId="0" fontId="58" fillId="0" borderId="112" xfId="1" applyFont="1" applyBorder="1"/>
    <xf numFmtId="17" fontId="59" fillId="12" borderId="110" xfId="1" applyNumberFormat="1" applyFont="1" applyFill="1" applyBorder="1" applyAlignment="1">
      <alignment horizontal="right" vertical="center"/>
    </xf>
    <xf numFmtId="0" fontId="60" fillId="13" borderId="111" xfId="1" applyFont="1" applyFill="1" applyBorder="1" applyAlignment="1">
      <alignment vertical="center"/>
    </xf>
    <xf numFmtId="0" fontId="60" fillId="0" borderId="111" xfId="1" applyFont="1" applyBorder="1" applyAlignment="1">
      <alignment vertical="center"/>
    </xf>
    <xf numFmtId="0" fontId="61" fillId="0" borderId="0" xfId="1" applyFont="1" applyAlignment="1">
      <alignment vertical="center"/>
    </xf>
    <xf numFmtId="0" fontId="62" fillId="0" borderId="0" xfId="1" applyFont="1" applyAlignment="1">
      <alignment vertical="center"/>
    </xf>
    <xf numFmtId="0" fontId="63" fillId="0" borderId="0" xfId="1" applyFont="1" applyAlignment="1">
      <alignment vertical="center"/>
    </xf>
    <xf numFmtId="17" fontId="59" fillId="12" borderId="113" xfId="1" applyNumberFormat="1" applyFont="1" applyFill="1" applyBorder="1" applyAlignment="1">
      <alignment horizontal="right" vertical="center"/>
    </xf>
    <xf numFmtId="0" fontId="60" fillId="0" borderId="114" xfId="1" applyFont="1" applyBorder="1" applyAlignment="1">
      <alignment vertical="center"/>
    </xf>
    <xf numFmtId="0" fontId="58" fillId="0" borderId="115" xfId="1" applyFont="1" applyBorder="1"/>
    <xf numFmtId="0" fontId="2" fillId="0" borderId="0" xfId="1" applyBorder="1" applyAlignment="1">
      <alignment horizontal="center"/>
    </xf>
    <xf numFmtId="17" fontId="2" fillId="0" borderId="110" xfId="1" applyNumberFormat="1" applyBorder="1"/>
    <xf numFmtId="0" fontId="2" fillId="0" borderId="111" xfId="1" applyBorder="1"/>
    <xf numFmtId="0" fontId="58" fillId="0" borderId="112" xfId="1" applyFont="1" applyFill="1" applyBorder="1"/>
    <xf numFmtId="0" fontId="60" fillId="13" borderId="114" xfId="1" applyFont="1" applyFill="1" applyBorder="1" applyAlignment="1">
      <alignment vertical="center"/>
    </xf>
  </cellXfs>
  <cellStyles count="10">
    <cellStyle name="Day" xfId="6" xr:uid="{5DFCC698-4404-4DCE-BDB6-98D1D306910A}"/>
    <cellStyle name="Day Detail" xfId="7" xr:uid="{2BA98AA2-5AF9-49A0-A31B-687EF50406B3}"/>
    <cellStyle name="Heading 1 2" xfId="3" xr:uid="{A4C22D58-8C01-43C9-B6B0-938DA7D4F3F1}"/>
    <cellStyle name="Heading 2 2" xfId="4" xr:uid="{6F86ED23-14EB-4F89-BD5D-820690BE6A63}"/>
    <cellStyle name="Heading 3 2" xfId="5" xr:uid="{3270C70A-BBEB-4BA6-AE60-E1C9F8E1CBE7}"/>
    <cellStyle name="Normal" xfId="0" builtinId="0"/>
    <cellStyle name="Normal 2" xfId="1" xr:uid="{36959EEE-2EE4-4643-8EDF-C0646DC6A03D}"/>
    <cellStyle name="Notes" xfId="9" xr:uid="{0C69A4B9-9E6C-40C9-9CB7-567AAD4D5C9C}"/>
    <cellStyle name="Notes Header" xfId="8" xr:uid="{6871D36A-3502-43D3-9488-CB6B66A93B9D}"/>
    <cellStyle name="Title 2" xfId="2" xr:uid="{DE9F3E73-B4CC-4640-AF38-49A1D15313F4}"/>
  </cellStyles>
  <dxfs count="13">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WIS-Academic%20Calendar-%202026-27.xls" TargetMode="External"/><Relationship Id="rId2" Type="http://schemas.openxmlformats.org/officeDocument/2006/relationships/externalLinkPath" Target="file:///D:\web\wellspire%20school\WIS-Academic%20Calendar-%202026-27.xls" TargetMode="External"/><Relationship Id="rId1" Type="http://schemas.openxmlformats.org/officeDocument/2006/relationships/externalLinkPath" Target="/web/wellspire%20school/WIS-Academic%20Calendar-%202026-2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easonal%20photo%20calendar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endar"/>
      <sheetName val="Themes"/>
      <sheetName val="Overview"/>
      <sheetName val="Working Days"/>
      <sheetName val="Holidays"/>
      <sheetName val="Images"/>
    </sheetNames>
    <sheetDataSet>
      <sheetData sheetId="0">
        <row r="2">
          <cell r="B2">
            <v>2026</v>
          </cell>
          <cell r="C2" t="str">
            <v>March</v>
          </cell>
        </row>
        <row r="4">
          <cell r="B4" t="str">
            <v>Monday</v>
          </cell>
        </row>
        <row r="18">
          <cell r="B18">
            <v>2026</v>
          </cell>
          <cell r="C18" t="str">
            <v>April</v>
          </cell>
        </row>
        <row r="34">
          <cell r="B34">
            <v>2026</v>
          </cell>
          <cell r="C34" t="str">
            <v>May</v>
          </cell>
        </row>
        <row r="50">
          <cell r="B50">
            <v>2026</v>
          </cell>
          <cell r="C50" t="str">
            <v>June</v>
          </cell>
        </row>
        <row r="66">
          <cell r="B66">
            <v>2026</v>
          </cell>
          <cell r="C66" t="str">
            <v>July</v>
          </cell>
        </row>
        <row r="82">
          <cell r="B82">
            <v>2026</v>
          </cell>
          <cell r="C82" t="str">
            <v>August</v>
          </cell>
        </row>
        <row r="98">
          <cell r="B98">
            <v>2026</v>
          </cell>
          <cell r="C98" t="str">
            <v>September</v>
          </cell>
        </row>
        <row r="114">
          <cell r="B114">
            <v>2026</v>
          </cell>
          <cell r="C114" t="str">
            <v>October</v>
          </cell>
        </row>
        <row r="130">
          <cell r="B130">
            <v>2026</v>
          </cell>
          <cell r="C130" t="str">
            <v>November</v>
          </cell>
        </row>
        <row r="146">
          <cell r="B146">
            <v>2026</v>
          </cell>
          <cell r="C146" t="str">
            <v>December</v>
          </cell>
        </row>
        <row r="162">
          <cell r="B162">
            <v>2027</v>
          </cell>
          <cell r="C162" t="str">
            <v>January</v>
          </cell>
        </row>
        <row r="178">
          <cell r="B178">
            <v>2027</v>
          </cell>
          <cell r="C178" t="str">
            <v>February</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row r="5">
          <cell r="K5">
            <v>2023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7151-8BA6-463D-AC72-A3FC5ED8842C}">
  <dimension ref="C1:G28"/>
  <sheetViews>
    <sheetView tabSelected="1" workbookViewId="0">
      <selection activeCell="E17" sqref="E17"/>
    </sheetView>
  </sheetViews>
  <sheetFormatPr defaultRowHeight="14.4" x14ac:dyDescent="0.3"/>
  <cols>
    <col min="1" max="2" width="8.88671875" style="298"/>
    <col min="3" max="3" width="10.44140625" style="298" bestFit="1" customWidth="1"/>
    <col min="4" max="4" width="34.21875" style="298" customWidth="1"/>
    <col min="5" max="5" width="40.88671875" style="298" customWidth="1"/>
    <col min="6" max="6" width="8.88671875" style="298"/>
    <col min="7" max="7" width="33" style="298" bestFit="1" customWidth="1"/>
    <col min="8" max="258" width="8.88671875" style="298"/>
    <col min="259" max="259" width="10.44140625" style="298" bestFit="1" customWidth="1"/>
    <col min="260" max="260" width="34.21875" style="298" customWidth="1"/>
    <col min="261" max="261" width="40.88671875" style="298" customWidth="1"/>
    <col min="262" max="262" width="8.88671875" style="298"/>
    <col min="263" max="263" width="33" style="298" bestFit="1" customWidth="1"/>
    <col min="264" max="514" width="8.88671875" style="298"/>
    <col min="515" max="515" width="10.44140625" style="298" bestFit="1" customWidth="1"/>
    <col min="516" max="516" width="34.21875" style="298" customWidth="1"/>
    <col min="517" max="517" width="40.88671875" style="298" customWidth="1"/>
    <col min="518" max="518" width="8.88671875" style="298"/>
    <col min="519" max="519" width="33" style="298" bestFit="1" customWidth="1"/>
    <col min="520" max="770" width="8.88671875" style="298"/>
    <col min="771" max="771" width="10.44140625" style="298" bestFit="1" customWidth="1"/>
    <col min="772" max="772" width="34.21875" style="298" customWidth="1"/>
    <col min="773" max="773" width="40.88671875" style="298" customWidth="1"/>
    <col min="774" max="774" width="8.88671875" style="298"/>
    <col min="775" max="775" width="33" style="298" bestFit="1" customWidth="1"/>
    <col min="776" max="1026" width="8.88671875" style="298"/>
    <col min="1027" max="1027" width="10.44140625" style="298" bestFit="1" customWidth="1"/>
    <col min="1028" max="1028" width="34.21875" style="298" customWidth="1"/>
    <col min="1029" max="1029" width="40.88671875" style="298" customWidth="1"/>
    <col min="1030" max="1030" width="8.88671875" style="298"/>
    <col min="1031" max="1031" width="33" style="298" bestFit="1" customWidth="1"/>
    <col min="1032" max="1282" width="8.88671875" style="298"/>
    <col min="1283" max="1283" width="10.44140625" style="298" bestFit="1" customWidth="1"/>
    <col min="1284" max="1284" width="34.21875" style="298" customWidth="1"/>
    <col min="1285" max="1285" width="40.88671875" style="298" customWidth="1"/>
    <col min="1286" max="1286" width="8.88671875" style="298"/>
    <col min="1287" max="1287" width="33" style="298" bestFit="1" customWidth="1"/>
    <col min="1288" max="1538" width="8.88671875" style="298"/>
    <col min="1539" max="1539" width="10.44140625" style="298" bestFit="1" customWidth="1"/>
    <col min="1540" max="1540" width="34.21875" style="298" customWidth="1"/>
    <col min="1541" max="1541" width="40.88671875" style="298" customWidth="1"/>
    <col min="1542" max="1542" width="8.88671875" style="298"/>
    <col min="1543" max="1543" width="33" style="298" bestFit="1" customWidth="1"/>
    <col min="1544" max="1794" width="8.88671875" style="298"/>
    <col min="1795" max="1795" width="10.44140625" style="298" bestFit="1" customWidth="1"/>
    <col min="1796" max="1796" width="34.21875" style="298" customWidth="1"/>
    <col min="1797" max="1797" width="40.88671875" style="298" customWidth="1"/>
    <col min="1798" max="1798" width="8.88671875" style="298"/>
    <col min="1799" max="1799" width="33" style="298" bestFit="1" customWidth="1"/>
    <col min="1800" max="2050" width="8.88671875" style="298"/>
    <col min="2051" max="2051" width="10.44140625" style="298" bestFit="1" customWidth="1"/>
    <col min="2052" max="2052" width="34.21875" style="298" customWidth="1"/>
    <col min="2053" max="2053" width="40.88671875" style="298" customWidth="1"/>
    <col min="2054" max="2054" width="8.88671875" style="298"/>
    <col min="2055" max="2055" width="33" style="298" bestFit="1" customWidth="1"/>
    <col min="2056" max="2306" width="8.88671875" style="298"/>
    <col min="2307" max="2307" width="10.44140625" style="298" bestFit="1" customWidth="1"/>
    <col min="2308" max="2308" width="34.21875" style="298" customWidth="1"/>
    <col min="2309" max="2309" width="40.88671875" style="298" customWidth="1"/>
    <col min="2310" max="2310" width="8.88671875" style="298"/>
    <col min="2311" max="2311" width="33" style="298" bestFit="1" customWidth="1"/>
    <col min="2312" max="2562" width="8.88671875" style="298"/>
    <col min="2563" max="2563" width="10.44140625" style="298" bestFit="1" customWidth="1"/>
    <col min="2564" max="2564" width="34.21875" style="298" customWidth="1"/>
    <col min="2565" max="2565" width="40.88671875" style="298" customWidth="1"/>
    <col min="2566" max="2566" width="8.88671875" style="298"/>
    <col min="2567" max="2567" width="33" style="298" bestFit="1" customWidth="1"/>
    <col min="2568" max="2818" width="8.88671875" style="298"/>
    <col min="2819" max="2819" width="10.44140625" style="298" bestFit="1" customWidth="1"/>
    <col min="2820" max="2820" width="34.21875" style="298" customWidth="1"/>
    <col min="2821" max="2821" width="40.88671875" style="298" customWidth="1"/>
    <col min="2822" max="2822" width="8.88671875" style="298"/>
    <col min="2823" max="2823" width="33" style="298" bestFit="1" customWidth="1"/>
    <col min="2824" max="3074" width="8.88671875" style="298"/>
    <col min="3075" max="3075" width="10.44140625" style="298" bestFit="1" customWidth="1"/>
    <col min="3076" max="3076" width="34.21875" style="298" customWidth="1"/>
    <col min="3077" max="3077" width="40.88671875" style="298" customWidth="1"/>
    <col min="3078" max="3078" width="8.88671875" style="298"/>
    <col min="3079" max="3079" width="33" style="298" bestFit="1" customWidth="1"/>
    <col min="3080" max="3330" width="8.88671875" style="298"/>
    <col min="3331" max="3331" width="10.44140625" style="298" bestFit="1" customWidth="1"/>
    <col min="3332" max="3332" width="34.21875" style="298" customWidth="1"/>
    <col min="3333" max="3333" width="40.88671875" style="298" customWidth="1"/>
    <col min="3334" max="3334" width="8.88671875" style="298"/>
    <col min="3335" max="3335" width="33" style="298" bestFit="1" customWidth="1"/>
    <col min="3336" max="3586" width="8.88671875" style="298"/>
    <col min="3587" max="3587" width="10.44140625" style="298" bestFit="1" customWidth="1"/>
    <col min="3588" max="3588" width="34.21875" style="298" customWidth="1"/>
    <col min="3589" max="3589" width="40.88671875" style="298" customWidth="1"/>
    <col min="3590" max="3590" width="8.88671875" style="298"/>
    <col min="3591" max="3591" width="33" style="298" bestFit="1" customWidth="1"/>
    <col min="3592" max="3842" width="8.88671875" style="298"/>
    <col min="3843" max="3843" width="10.44140625" style="298" bestFit="1" customWidth="1"/>
    <col min="3844" max="3844" width="34.21875" style="298" customWidth="1"/>
    <col min="3845" max="3845" width="40.88671875" style="298" customWidth="1"/>
    <col min="3846" max="3846" width="8.88671875" style="298"/>
    <col min="3847" max="3847" width="33" style="298" bestFit="1" customWidth="1"/>
    <col min="3848" max="4098" width="8.88671875" style="298"/>
    <col min="4099" max="4099" width="10.44140625" style="298" bestFit="1" customWidth="1"/>
    <col min="4100" max="4100" width="34.21875" style="298" customWidth="1"/>
    <col min="4101" max="4101" width="40.88671875" style="298" customWidth="1"/>
    <col min="4102" max="4102" width="8.88671875" style="298"/>
    <col min="4103" max="4103" width="33" style="298" bestFit="1" customWidth="1"/>
    <col min="4104" max="4354" width="8.88671875" style="298"/>
    <col min="4355" max="4355" width="10.44140625" style="298" bestFit="1" customWidth="1"/>
    <col min="4356" max="4356" width="34.21875" style="298" customWidth="1"/>
    <col min="4357" max="4357" width="40.88671875" style="298" customWidth="1"/>
    <col min="4358" max="4358" width="8.88671875" style="298"/>
    <col min="4359" max="4359" width="33" style="298" bestFit="1" customWidth="1"/>
    <col min="4360" max="4610" width="8.88671875" style="298"/>
    <col min="4611" max="4611" width="10.44140625" style="298" bestFit="1" customWidth="1"/>
    <col min="4612" max="4612" width="34.21875" style="298" customWidth="1"/>
    <col min="4613" max="4613" width="40.88671875" style="298" customWidth="1"/>
    <col min="4614" max="4614" width="8.88671875" style="298"/>
    <col min="4615" max="4615" width="33" style="298" bestFit="1" customWidth="1"/>
    <col min="4616" max="4866" width="8.88671875" style="298"/>
    <col min="4867" max="4867" width="10.44140625" style="298" bestFit="1" customWidth="1"/>
    <col min="4868" max="4868" width="34.21875" style="298" customWidth="1"/>
    <col min="4869" max="4869" width="40.88671875" style="298" customWidth="1"/>
    <col min="4870" max="4870" width="8.88671875" style="298"/>
    <col min="4871" max="4871" width="33" style="298" bestFit="1" customWidth="1"/>
    <col min="4872" max="5122" width="8.88671875" style="298"/>
    <col min="5123" max="5123" width="10.44140625" style="298" bestFit="1" customWidth="1"/>
    <col min="5124" max="5124" width="34.21875" style="298" customWidth="1"/>
    <col min="5125" max="5125" width="40.88671875" style="298" customWidth="1"/>
    <col min="5126" max="5126" width="8.88671875" style="298"/>
    <col min="5127" max="5127" width="33" style="298" bestFit="1" customWidth="1"/>
    <col min="5128" max="5378" width="8.88671875" style="298"/>
    <col min="5379" max="5379" width="10.44140625" style="298" bestFit="1" customWidth="1"/>
    <col min="5380" max="5380" width="34.21875" style="298" customWidth="1"/>
    <col min="5381" max="5381" width="40.88671875" style="298" customWidth="1"/>
    <col min="5382" max="5382" width="8.88671875" style="298"/>
    <col min="5383" max="5383" width="33" style="298" bestFit="1" customWidth="1"/>
    <col min="5384" max="5634" width="8.88671875" style="298"/>
    <col min="5635" max="5635" width="10.44140625" style="298" bestFit="1" customWidth="1"/>
    <col min="5636" max="5636" width="34.21875" style="298" customWidth="1"/>
    <col min="5637" max="5637" width="40.88671875" style="298" customWidth="1"/>
    <col min="5638" max="5638" width="8.88671875" style="298"/>
    <col min="5639" max="5639" width="33" style="298" bestFit="1" customWidth="1"/>
    <col min="5640" max="5890" width="8.88671875" style="298"/>
    <col min="5891" max="5891" width="10.44140625" style="298" bestFit="1" customWidth="1"/>
    <col min="5892" max="5892" width="34.21875" style="298" customWidth="1"/>
    <col min="5893" max="5893" width="40.88671875" style="298" customWidth="1"/>
    <col min="5894" max="5894" width="8.88671875" style="298"/>
    <col min="5895" max="5895" width="33" style="298" bestFit="1" customWidth="1"/>
    <col min="5896" max="6146" width="8.88671875" style="298"/>
    <col min="6147" max="6147" width="10.44140625" style="298" bestFit="1" customWidth="1"/>
    <col min="6148" max="6148" width="34.21875" style="298" customWidth="1"/>
    <col min="6149" max="6149" width="40.88671875" style="298" customWidth="1"/>
    <col min="6150" max="6150" width="8.88671875" style="298"/>
    <col min="6151" max="6151" width="33" style="298" bestFit="1" customWidth="1"/>
    <col min="6152" max="6402" width="8.88671875" style="298"/>
    <col min="6403" max="6403" width="10.44140625" style="298" bestFit="1" customWidth="1"/>
    <col min="6404" max="6404" width="34.21875" style="298" customWidth="1"/>
    <col min="6405" max="6405" width="40.88671875" style="298" customWidth="1"/>
    <col min="6406" max="6406" width="8.88671875" style="298"/>
    <col min="6407" max="6407" width="33" style="298" bestFit="1" customWidth="1"/>
    <col min="6408" max="6658" width="8.88671875" style="298"/>
    <col min="6659" max="6659" width="10.44140625" style="298" bestFit="1" customWidth="1"/>
    <col min="6660" max="6660" width="34.21875" style="298" customWidth="1"/>
    <col min="6661" max="6661" width="40.88671875" style="298" customWidth="1"/>
    <col min="6662" max="6662" width="8.88671875" style="298"/>
    <col min="6663" max="6663" width="33" style="298" bestFit="1" customWidth="1"/>
    <col min="6664" max="6914" width="8.88671875" style="298"/>
    <col min="6915" max="6915" width="10.44140625" style="298" bestFit="1" customWidth="1"/>
    <col min="6916" max="6916" width="34.21875" style="298" customWidth="1"/>
    <col min="6917" max="6917" width="40.88671875" style="298" customWidth="1"/>
    <col min="6918" max="6918" width="8.88671875" style="298"/>
    <col min="6919" max="6919" width="33" style="298" bestFit="1" customWidth="1"/>
    <col min="6920" max="7170" width="8.88671875" style="298"/>
    <col min="7171" max="7171" width="10.44140625" style="298" bestFit="1" customWidth="1"/>
    <col min="7172" max="7172" width="34.21875" style="298" customWidth="1"/>
    <col min="7173" max="7173" width="40.88671875" style="298" customWidth="1"/>
    <col min="7174" max="7174" width="8.88671875" style="298"/>
    <col min="7175" max="7175" width="33" style="298" bestFit="1" customWidth="1"/>
    <col min="7176" max="7426" width="8.88671875" style="298"/>
    <col min="7427" max="7427" width="10.44140625" style="298" bestFit="1" customWidth="1"/>
    <col min="7428" max="7428" width="34.21875" style="298" customWidth="1"/>
    <col min="7429" max="7429" width="40.88671875" style="298" customWidth="1"/>
    <col min="7430" max="7430" width="8.88671875" style="298"/>
    <col min="7431" max="7431" width="33" style="298" bestFit="1" customWidth="1"/>
    <col min="7432" max="7682" width="8.88671875" style="298"/>
    <col min="7683" max="7683" width="10.44140625" style="298" bestFit="1" customWidth="1"/>
    <col min="7684" max="7684" width="34.21875" style="298" customWidth="1"/>
    <col min="7685" max="7685" width="40.88671875" style="298" customWidth="1"/>
    <col min="7686" max="7686" width="8.88671875" style="298"/>
    <col min="7687" max="7687" width="33" style="298" bestFit="1" customWidth="1"/>
    <col min="7688" max="7938" width="8.88671875" style="298"/>
    <col min="7939" max="7939" width="10.44140625" style="298" bestFit="1" customWidth="1"/>
    <col min="7940" max="7940" width="34.21875" style="298" customWidth="1"/>
    <col min="7941" max="7941" width="40.88671875" style="298" customWidth="1"/>
    <col min="7942" max="7942" width="8.88671875" style="298"/>
    <col min="7943" max="7943" width="33" style="298" bestFit="1" customWidth="1"/>
    <col min="7944" max="8194" width="8.88671875" style="298"/>
    <col min="8195" max="8195" width="10.44140625" style="298" bestFit="1" customWidth="1"/>
    <col min="8196" max="8196" width="34.21875" style="298" customWidth="1"/>
    <col min="8197" max="8197" width="40.88671875" style="298" customWidth="1"/>
    <col min="8198" max="8198" width="8.88671875" style="298"/>
    <col min="8199" max="8199" width="33" style="298" bestFit="1" customWidth="1"/>
    <col min="8200" max="8450" width="8.88671875" style="298"/>
    <col min="8451" max="8451" width="10.44140625" style="298" bestFit="1" customWidth="1"/>
    <col min="8452" max="8452" width="34.21875" style="298" customWidth="1"/>
    <col min="8453" max="8453" width="40.88671875" style="298" customWidth="1"/>
    <col min="8454" max="8454" width="8.88671875" style="298"/>
    <col min="8455" max="8455" width="33" style="298" bestFit="1" customWidth="1"/>
    <col min="8456" max="8706" width="8.88671875" style="298"/>
    <col min="8707" max="8707" width="10.44140625" style="298" bestFit="1" customWidth="1"/>
    <col min="8708" max="8708" width="34.21875" style="298" customWidth="1"/>
    <col min="8709" max="8709" width="40.88671875" style="298" customWidth="1"/>
    <col min="8710" max="8710" width="8.88671875" style="298"/>
    <col min="8711" max="8711" width="33" style="298" bestFit="1" customWidth="1"/>
    <col min="8712" max="8962" width="8.88671875" style="298"/>
    <col min="8963" max="8963" width="10.44140625" style="298" bestFit="1" customWidth="1"/>
    <col min="8964" max="8964" width="34.21875" style="298" customWidth="1"/>
    <col min="8965" max="8965" width="40.88671875" style="298" customWidth="1"/>
    <col min="8966" max="8966" width="8.88671875" style="298"/>
    <col min="8967" max="8967" width="33" style="298" bestFit="1" customWidth="1"/>
    <col min="8968" max="9218" width="8.88671875" style="298"/>
    <col min="9219" max="9219" width="10.44140625" style="298" bestFit="1" customWidth="1"/>
    <col min="9220" max="9220" width="34.21875" style="298" customWidth="1"/>
    <col min="9221" max="9221" width="40.88671875" style="298" customWidth="1"/>
    <col min="9222" max="9222" width="8.88671875" style="298"/>
    <col min="9223" max="9223" width="33" style="298" bestFit="1" customWidth="1"/>
    <col min="9224" max="9474" width="8.88671875" style="298"/>
    <col min="9475" max="9475" width="10.44140625" style="298" bestFit="1" customWidth="1"/>
    <col min="9476" max="9476" width="34.21875" style="298" customWidth="1"/>
    <col min="9477" max="9477" width="40.88671875" style="298" customWidth="1"/>
    <col min="9478" max="9478" width="8.88671875" style="298"/>
    <col min="9479" max="9479" width="33" style="298" bestFit="1" customWidth="1"/>
    <col min="9480" max="9730" width="8.88671875" style="298"/>
    <col min="9731" max="9731" width="10.44140625" style="298" bestFit="1" customWidth="1"/>
    <col min="9732" max="9732" width="34.21875" style="298" customWidth="1"/>
    <col min="9733" max="9733" width="40.88671875" style="298" customWidth="1"/>
    <col min="9734" max="9734" width="8.88671875" style="298"/>
    <col min="9735" max="9735" width="33" style="298" bestFit="1" customWidth="1"/>
    <col min="9736" max="9986" width="8.88671875" style="298"/>
    <col min="9987" max="9987" width="10.44140625" style="298" bestFit="1" customWidth="1"/>
    <col min="9988" max="9988" width="34.21875" style="298" customWidth="1"/>
    <col min="9989" max="9989" width="40.88671875" style="298" customWidth="1"/>
    <col min="9990" max="9990" width="8.88671875" style="298"/>
    <col min="9991" max="9991" width="33" style="298" bestFit="1" customWidth="1"/>
    <col min="9992" max="10242" width="8.88671875" style="298"/>
    <col min="10243" max="10243" width="10.44140625" style="298" bestFit="1" customWidth="1"/>
    <col min="10244" max="10244" width="34.21875" style="298" customWidth="1"/>
    <col min="10245" max="10245" width="40.88671875" style="298" customWidth="1"/>
    <col min="10246" max="10246" width="8.88671875" style="298"/>
    <col min="10247" max="10247" width="33" style="298" bestFit="1" customWidth="1"/>
    <col min="10248" max="10498" width="8.88671875" style="298"/>
    <col min="10499" max="10499" width="10.44140625" style="298" bestFit="1" customWidth="1"/>
    <col min="10500" max="10500" width="34.21875" style="298" customWidth="1"/>
    <col min="10501" max="10501" width="40.88671875" style="298" customWidth="1"/>
    <col min="10502" max="10502" width="8.88671875" style="298"/>
    <col min="10503" max="10503" width="33" style="298" bestFit="1" customWidth="1"/>
    <col min="10504" max="10754" width="8.88671875" style="298"/>
    <col min="10755" max="10755" width="10.44140625" style="298" bestFit="1" customWidth="1"/>
    <col min="10756" max="10756" width="34.21875" style="298" customWidth="1"/>
    <col min="10757" max="10757" width="40.88671875" style="298" customWidth="1"/>
    <col min="10758" max="10758" width="8.88671875" style="298"/>
    <col min="10759" max="10759" width="33" style="298" bestFit="1" customWidth="1"/>
    <col min="10760" max="11010" width="8.88671875" style="298"/>
    <col min="11011" max="11011" width="10.44140625" style="298" bestFit="1" customWidth="1"/>
    <col min="11012" max="11012" width="34.21875" style="298" customWidth="1"/>
    <col min="11013" max="11013" width="40.88671875" style="298" customWidth="1"/>
    <col min="11014" max="11014" width="8.88671875" style="298"/>
    <col min="11015" max="11015" width="33" style="298" bestFit="1" customWidth="1"/>
    <col min="11016" max="11266" width="8.88671875" style="298"/>
    <col min="11267" max="11267" width="10.44140625" style="298" bestFit="1" customWidth="1"/>
    <col min="11268" max="11268" width="34.21875" style="298" customWidth="1"/>
    <col min="11269" max="11269" width="40.88671875" style="298" customWidth="1"/>
    <col min="11270" max="11270" width="8.88671875" style="298"/>
    <col min="11271" max="11271" width="33" style="298" bestFit="1" customWidth="1"/>
    <col min="11272" max="11522" width="8.88671875" style="298"/>
    <col min="11523" max="11523" width="10.44140625" style="298" bestFit="1" customWidth="1"/>
    <col min="11524" max="11524" width="34.21875" style="298" customWidth="1"/>
    <col min="11525" max="11525" width="40.88671875" style="298" customWidth="1"/>
    <col min="11526" max="11526" width="8.88671875" style="298"/>
    <col min="11527" max="11527" width="33" style="298" bestFit="1" customWidth="1"/>
    <col min="11528" max="11778" width="8.88671875" style="298"/>
    <col min="11779" max="11779" width="10.44140625" style="298" bestFit="1" customWidth="1"/>
    <col min="11780" max="11780" width="34.21875" style="298" customWidth="1"/>
    <col min="11781" max="11781" width="40.88671875" style="298" customWidth="1"/>
    <col min="11782" max="11782" width="8.88671875" style="298"/>
    <col min="11783" max="11783" width="33" style="298" bestFit="1" customWidth="1"/>
    <col min="11784" max="12034" width="8.88671875" style="298"/>
    <col min="12035" max="12035" width="10.44140625" style="298" bestFit="1" customWidth="1"/>
    <col min="12036" max="12036" width="34.21875" style="298" customWidth="1"/>
    <col min="12037" max="12037" width="40.88671875" style="298" customWidth="1"/>
    <col min="12038" max="12038" width="8.88671875" style="298"/>
    <col min="12039" max="12039" width="33" style="298" bestFit="1" customWidth="1"/>
    <col min="12040" max="12290" width="8.88671875" style="298"/>
    <col min="12291" max="12291" width="10.44140625" style="298" bestFit="1" customWidth="1"/>
    <col min="12292" max="12292" width="34.21875" style="298" customWidth="1"/>
    <col min="12293" max="12293" width="40.88671875" style="298" customWidth="1"/>
    <col min="12294" max="12294" width="8.88671875" style="298"/>
    <col min="12295" max="12295" width="33" style="298" bestFit="1" customWidth="1"/>
    <col min="12296" max="12546" width="8.88671875" style="298"/>
    <col min="12547" max="12547" width="10.44140625" style="298" bestFit="1" customWidth="1"/>
    <col min="12548" max="12548" width="34.21875" style="298" customWidth="1"/>
    <col min="12549" max="12549" width="40.88671875" style="298" customWidth="1"/>
    <col min="12550" max="12550" width="8.88671875" style="298"/>
    <col min="12551" max="12551" width="33" style="298" bestFit="1" customWidth="1"/>
    <col min="12552" max="12802" width="8.88671875" style="298"/>
    <col min="12803" max="12803" width="10.44140625" style="298" bestFit="1" customWidth="1"/>
    <col min="12804" max="12804" width="34.21875" style="298" customWidth="1"/>
    <col min="12805" max="12805" width="40.88671875" style="298" customWidth="1"/>
    <col min="12806" max="12806" width="8.88671875" style="298"/>
    <col min="12807" max="12807" width="33" style="298" bestFit="1" customWidth="1"/>
    <col min="12808" max="13058" width="8.88671875" style="298"/>
    <col min="13059" max="13059" width="10.44140625" style="298" bestFit="1" customWidth="1"/>
    <col min="13060" max="13060" width="34.21875" style="298" customWidth="1"/>
    <col min="13061" max="13061" width="40.88671875" style="298" customWidth="1"/>
    <col min="13062" max="13062" width="8.88671875" style="298"/>
    <col min="13063" max="13063" width="33" style="298" bestFit="1" customWidth="1"/>
    <col min="13064" max="13314" width="8.88671875" style="298"/>
    <col min="13315" max="13315" width="10.44140625" style="298" bestFit="1" customWidth="1"/>
    <col min="13316" max="13316" width="34.21875" style="298" customWidth="1"/>
    <col min="13317" max="13317" width="40.88671875" style="298" customWidth="1"/>
    <col min="13318" max="13318" width="8.88671875" style="298"/>
    <col min="13319" max="13319" width="33" style="298" bestFit="1" customWidth="1"/>
    <col min="13320" max="13570" width="8.88671875" style="298"/>
    <col min="13571" max="13571" width="10.44140625" style="298" bestFit="1" customWidth="1"/>
    <col min="13572" max="13572" width="34.21875" style="298" customWidth="1"/>
    <col min="13573" max="13573" width="40.88671875" style="298" customWidth="1"/>
    <col min="13574" max="13574" width="8.88671875" style="298"/>
    <col min="13575" max="13575" width="33" style="298" bestFit="1" customWidth="1"/>
    <col min="13576" max="13826" width="8.88671875" style="298"/>
    <col min="13827" max="13827" width="10.44140625" style="298" bestFit="1" customWidth="1"/>
    <col min="13828" max="13828" width="34.21875" style="298" customWidth="1"/>
    <col min="13829" max="13829" width="40.88671875" style="298" customWidth="1"/>
    <col min="13830" max="13830" width="8.88671875" style="298"/>
    <col min="13831" max="13831" width="33" style="298" bestFit="1" customWidth="1"/>
    <col min="13832" max="14082" width="8.88671875" style="298"/>
    <col min="14083" max="14083" width="10.44140625" style="298" bestFit="1" customWidth="1"/>
    <col min="14084" max="14084" width="34.21875" style="298" customWidth="1"/>
    <col min="14085" max="14085" width="40.88671875" style="298" customWidth="1"/>
    <col min="14086" max="14086" width="8.88671875" style="298"/>
    <col min="14087" max="14087" width="33" style="298" bestFit="1" customWidth="1"/>
    <col min="14088" max="14338" width="8.88671875" style="298"/>
    <col min="14339" max="14339" width="10.44140625" style="298" bestFit="1" customWidth="1"/>
    <col min="14340" max="14340" width="34.21875" style="298" customWidth="1"/>
    <col min="14341" max="14341" width="40.88671875" style="298" customWidth="1"/>
    <col min="14342" max="14342" width="8.88671875" style="298"/>
    <col min="14343" max="14343" width="33" style="298" bestFit="1" customWidth="1"/>
    <col min="14344" max="14594" width="8.88671875" style="298"/>
    <col min="14595" max="14595" width="10.44140625" style="298" bestFit="1" customWidth="1"/>
    <col min="14596" max="14596" width="34.21875" style="298" customWidth="1"/>
    <col min="14597" max="14597" width="40.88671875" style="298" customWidth="1"/>
    <col min="14598" max="14598" width="8.88671875" style="298"/>
    <col min="14599" max="14599" width="33" style="298" bestFit="1" customWidth="1"/>
    <col min="14600" max="14850" width="8.88671875" style="298"/>
    <col min="14851" max="14851" width="10.44140625" style="298" bestFit="1" customWidth="1"/>
    <col min="14852" max="14852" width="34.21875" style="298" customWidth="1"/>
    <col min="14853" max="14853" width="40.88671875" style="298" customWidth="1"/>
    <col min="14854" max="14854" width="8.88671875" style="298"/>
    <col min="14855" max="14855" width="33" style="298" bestFit="1" customWidth="1"/>
    <col min="14856" max="15106" width="8.88671875" style="298"/>
    <col min="15107" max="15107" width="10.44140625" style="298" bestFit="1" customWidth="1"/>
    <col min="15108" max="15108" width="34.21875" style="298" customWidth="1"/>
    <col min="15109" max="15109" width="40.88671875" style="298" customWidth="1"/>
    <col min="15110" max="15110" width="8.88671875" style="298"/>
    <col min="15111" max="15111" width="33" style="298" bestFit="1" customWidth="1"/>
    <col min="15112" max="15362" width="8.88671875" style="298"/>
    <col min="15363" max="15363" width="10.44140625" style="298" bestFit="1" customWidth="1"/>
    <col min="15364" max="15364" width="34.21875" style="298" customWidth="1"/>
    <col min="15365" max="15365" width="40.88671875" style="298" customWidth="1"/>
    <col min="15366" max="15366" width="8.88671875" style="298"/>
    <col min="15367" max="15367" width="33" style="298" bestFit="1" customWidth="1"/>
    <col min="15368" max="15618" width="8.88671875" style="298"/>
    <col min="15619" max="15619" width="10.44140625" style="298" bestFit="1" customWidth="1"/>
    <col min="15620" max="15620" width="34.21875" style="298" customWidth="1"/>
    <col min="15621" max="15621" width="40.88671875" style="298" customWidth="1"/>
    <col min="15622" max="15622" width="8.88671875" style="298"/>
    <col min="15623" max="15623" width="33" style="298" bestFit="1" customWidth="1"/>
    <col min="15624" max="15874" width="8.88671875" style="298"/>
    <col min="15875" max="15875" width="10.44140625" style="298" bestFit="1" customWidth="1"/>
    <col min="15876" max="15876" width="34.21875" style="298" customWidth="1"/>
    <col min="15877" max="15877" width="40.88671875" style="298" customWidth="1"/>
    <col min="15878" max="15878" width="8.88671875" style="298"/>
    <col min="15879" max="15879" width="33" style="298" bestFit="1" customWidth="1"/>
    <col min="15880" max="16130" width="8.88671875" style="298"/>
    <col min="16131" max="16131" width="10.44140625" style="298" bestFit="1" customWidth="1"/>
    <col min="16132" max="16132" width="34.21875" style="298" customWidth="1"/>
    <col min="16133" max="16133" width="40.88671875" style="298" customWidth="1"/>
    <col min="16134" max="16134" width="8.88671875" style="298"/>
    <col min="16135" max="16135" width="33" style="298" bestFit="1" customWidth="1"/>
    <col min="16136" max="16384" width="8.88671875" style="298"/>
  </cols>
  <sheetData>
    <row r="1" spans="3:7" ht="15.6" x14ac:dyDescent="0.3">
      <c r="C1" s="334" t="s">
        <v>144</v>
      </c>
      <c r="D1" s="335" t="s">
        <v>175</v>
      </c>
      <c r="E1" s="336" t="s">
        <v>176</v>
      </c>
    </row>
    <row r="2" spans="3:7" x14ac:dyDescent="0.3">
      <c r="C2" s="337" t="s">
        <v>177</v>
      </c>
      <c r="D2" s="338"/>
      <c r="E2" s="339" t="s">
        <v>178</v>
      </c>
    </row>
    <row r="3" spans="3:7" ht="15.6" x14ac:dyDescent="0.3">
      <c r="C3" s="340">
        <v>46174</v>
      </c>
      <c r="D3" s="341" t="s">
        <v>95</v>
      </c>
      <c r="E3" s="339" t="s">
        <v>179</v>
      </c>
    </row>
    <row r="4" spans="3:7" ht="15.6" x14ac:dyDescent="0.3">
      <c r="C4" s="340">
        <v>46204</v>
      </c>
      <c r="D4" s="342" t="s">
        <v>180</v>
      </c>
      <c r="E4" s="339" t="s">
        <v>181</v>
      </c>
      <c r="G4" s="343" t="s">
        <v>182</v>
      </c>
    </row>
    <row r="5" spans="3:7" ht="15.6" x14ac:dyDescent="0.3">
      <c r="C5" s="340">
        <v>46235</v>
      </c>
      <c r="D5" s="341" t="s">
        <v>97</v>
      </c>
      <c r="E5" s="339" t="s">
        <v>183</v>
      </c>
      <c r="G5" s="344" t="s">
        <v>184</v>
      </c>
    </row>
    <row r="6" spans="3:7" ht="15.6" x14ac:dyDescent="0.3">
      <c r="C6" s="340">
        <v>46266</v>
      </c>
      <c r="D6" s="342" t="s">
        <v>98</v>
      </c>
      <c r="E6" s="339" t="s">
        <v>185</v>
      </c>
      <c r="G6" s="345" t="s">
        <v>186</v>
      </c>
    </row>
    <row r="7" spans="3:7" ht="15.6" x14ac:dyDescent="0.3">
      <c r="C7" s="340">
        <v>46296</v>
      </c>
      <c r="D7" s="341" t="s">
        <v>99</v>
      </c>
      <c r="E7" s="339" t="s">
        <v>187</v>
      </c>
      <c r="G7" s="343" t="s">
        <v>188</v>
      </c>
    </row>
    <row r="8" spans="3:7" ht="15.6" x14ac:dyDescent="0.3">
      <c r="C8" s="340">
        <v>46327</v>
      </c>
      <c r="D8" s="342" t="s">
        <v>100</v>
      </c>
      <c r="E8" s="339" t="s">
        <v>189</v>
      </c>
    </row>
    <row r="9" spans="3:7" ht="15.6" x14ac:dyDescent="0.3">
      <c r="C9" s="340">
        <v>46357</v>
      </c>
      <c r="D9" s="341" t="s">
        <v>101</v>
      </c>
      <c r="E9" s="339" t="s">
        <v>190</v>
      </c>
    </row>
    <row r="10" spans="3:7" ht="15.6" x14ac:dyDescent="0.3">
      <c r="C10" s="340">
        <v>46388</v>
      </c>
      <c r="D10" s="342" t="s">
        <v>102</v>
      </c>
      <c r="E10" s="339" t="s">
        <v>191</v>
      </c>
    </row>
    <row r="11" spans="3:7" ht="15.6" x14ac:dyDescent="0.3">
      <c r="C11" s="340">
        <v>46419</v>
      </c>
      <c r="D11" s="341" t="s">
        <v>103</v>
      </c>
      <c r="E11" s="339" t="s">
        <v>192</v>
      </c>
    </row>
    <row r="12" spans="3:7" ht="16.2" thickBot="1" x14ac:dyDescent="0.35">
      <c r="C12" s="346">
        <v>46447</v>
      </c>
      <c r="D12" s="347" t="s">
        <v>104</v>
      </c>
      <c r="E12" s="348" t="s">
        <v>193</v>
      </c>
    </row>
    <row r="14" spans="3:7" ht="15" thickBot="1" x14ac:dyDescent="0.35">
      <c r="C14" s="349"/>
      <c r="D14" s="349"/>
      <c r="E14" s="349"/>
    </row>
    <row r="15" spans="3:7" ht="15.6" x14ac:dyDescent="0.3">
      <c r="C15" s="334"/>
      <c r="D15" s="335"/>
      <c r="E15" s="336"/>
    </row>
    <row r="16" spans="3:7" x14ac:dyDescent="0.3">
      <c r="C16" s="337"/>
      <c r="D16" s="338"/>
      <c r="E16" s="339"/>
    </row>
    <row r="17" spans="3:5" ht="15.6" x14ac:dyDescent="0.3">
      <c r="C17" s="340"/>
      <c r="D17" s="341"/>
      <c r="E17" s="339"/>
    </row>
    <row r="18" spans="3:5" ht="15.6" x14ac:dyDescent="0.3">
      <c r="C18" s="340"/>
      <c r="D18" s="342"/>
      <c r="E18" s="339"/>
    </row>
    <row r="19" spans="3:5" ht="15.6" x14ac:dyDescent="0.3">
      <c r="C19" s="340"/>
      <c r="D19" s="341"/>
      <c r="E19" s="339"/>
    </row>
    <row r="20" spans="3:5" ht="15.6" x14ac:dyDescent="0.3">
      <c r="C20" s="340"/>
      <c r="D20" s="342"/>
      <c r="E20" s="339"/>
    </row>
    <row r="21" spans="3:5" x14ac:dyDescent="0.3">
      <c r="C21" s="350"/>
      <c r="D21" s="351"/>
      <c r="E21" s="352"/>
    </row>
    <row r="22" spans="3:5" ht="15.6" x14ac:dyDescent="0.3">
      <c r="C22" s="340"/>
      <c r="D22" s="341"/>
      <c r="E22" s="339"/>
    </row>
    <row r="23" spans="3:5" ht="15.6" x14ac:dyDescent="0.3">
      <c r="C23" s="340"/>
      <c r="D23" s="342"/>
      <c r="E23" s="339"/>
    </row>
    <row r="24" spans="3:5" ht="15.6" x14ac:dyDescent="0.3">
      <c r="C24" s="340"/>
      <c r="D24" s="341"/>
      <c r="E24" s="339"/>
    </row>
    <row r="25" spans="3:5" ht="15.6" x14ac:dyDescent="0.3">
      <c r="C25" s="340"/>
      <c r="D25" s="342"/>
      <c r="E25" s="339"/>
    </row>
    <row r="26" spans="3:5" ht="15.6" x14ac:dyDescent="0.3">
      <c r="C26" s="340"/>
      <c r="D26" s="341"/>
      <c r="E26" s="339"/>
    </row>
    <row r="27" spans="3:5" ht="15.6" x14ac:dyDescent="0.3">
      <c r="C27" s="340"/>
      <c r="D27" s="342"/>
      <c r="E27" s="339"/>
    </row>
    <row r="28" spans="3:5" ht="16.2" thickBot="1" x14ac:dyDescent="0.35">
      <c r="C28" s="346"/>
      <c r="D28" s="353"/>
      <c r="E28" s="348"/>
    </row>
  </sheetData>
  <mergeCells count="3">
    <mergeCell ref="C2:D2"/>
    <mergeCell ref="C14:E14"/>
    <mergeCell ref="C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73FF-03CA-4609-A700-73D9BADC0E72}">
  <dimension ref="B1:D55"/>
  <sheetViews>
    <sheetView topLeftCell="A37" workbookViewId="0">
      <selection activeCell="B2" sqref="B2:D55"/>
    </sheetView>
  </sheetViews>
  <sheetFormatPr defaultColWidth="8.6640625" defaultRowHeight="15.6" x14ac:dyDescent="0.3"/>
  <cols>
    <col min="1" max="1" width="8.6640625" style="313"/>
    <col min="2" max="2" width="10.33203125" style="313" bestFit="1" customWidth="1"/>
    <col min="3" max="3" width="11.6640625" style="313" bestFit="1" customWidth="1"/>
    <col min="4" max="4" width="33.6640625" style="313" bestFit="1" customWidth="1"/>
    <col min="5" max="251" width="8.6640625" style="313"/>
    <col min="252" max="252" width="10.33203125" style="313" bestFit="1" customWidth="1"/>
    <col min="253" max="253" width="11.6640625" style="313" bestFit="1" customWidth="1"/>
    <col min="254" max="254" width="33.6640625" style="313" bestFit="1" customWidth="1"/>
    <col min="255" max="257" width="8.6640625" style="313"/>
    <col min="258" max="258" width="10.33203125" style="313" bestFit="1" customWidth="1"/>
    <col min="259" max="259" width="11.6640625" style="313" bestFit="1" customWidth="1"/>
    <col min="260" max="260" width="33.6640625" style="313" bestFit="1" customWidth="1"/>
    <col min="261" max="507" width="8.6640625" style="313"/>
    <col min="508" max="508" width="10.33203125" style="313" bestFit="1" customWidth="1"/>
    <col min="509" max="509" width="11.6640625" style="313" bestFit="1" customWidth="1"/>
    <col min="510" max="510" width="33.6640625" style="313" bestFit="1" customWidth="1"/>
    <col min="511" max="513" width="8.6640625" style="313"/>
    <col min="514" max="514" width="10.33203125" style="313" bestFit="1" customWidth="1"/>
    <col min="515" max="515" width="11.6640625" style="313" bestFit="1" customWidth="1"/>
    <col min="516" max="516" width="33.6640625" style="313" bestFit="1" customWidth="1"/>
    <col min="517" max="763" width="8.6640625" style="313"/>
    <col min="764" max="764" width="10.33203125" style="313" bestFit="1" customWidth="1"/>
    <col min="765" max="765" width="11.6640625" style="313" bestFit="1" customWidth="1"/>
    <col min="766" max="766" width="33.6640625" style="313" bestFit="1" customWidth="1"/>
    <col min="767" max="769" width="8.6640625" style="313"/>
    <col min="770" max="770" width="10.33203125" style="313" bestFit="1" customWidth="1"/>
    <col min="771" max="771" width="11.6640625" style="313" bestFit="1" customWidth="1"/>
    <col min="772" max="772" width="33.6640625" style="313" bestFit="1" customWidth="1"/>
    <col min="773" max="1019" width="8.6640625" style="313"/>
    <col min="1020" max="1020" width="10.33203125" style="313" bestFit="1" customWidth="1"/>
    <col min="1021" max="1021" width="11.6640625" style="313" bestFit="1" customWidth="1"/>
    <col min="1022" max="1022" width="33.6640625" style="313" bestFit="1" customWidth="1"/>
    <col min="1023" max="1025" width="8.6640625" style="313"/>
    <col min="1026" max="1026" width="10.33203125" style="313" bestFit="1" customWidth="1"/>
    <col min="1027" max="1027" width="11.6640625" style="313" bestFit="1" customWidth="1"/>
    <col min="1028" max="1028" width="33.6640625" style="313" bestFit="1" customWidth="1"/>
    <col min="1029" max="1275" width="8.6640625" style="313"/>
    <col min="1276" max="1276" width="10.33203125" style="313" bestFit="1" customWidth="1"/>
    <col min="1277" max="1277" width="11.6640625" style="313" bestFit="1" customWidth="1"/>
    <col min="1278" max="1278" width="33.6640625" style="313" bestFit="1" customWidth="1"/>
    <col min="1279" max="1281" width="8.6640625" style="313"/>
    <col min="1282" max="1282" width="10.33203125" style="313" bestFit="1" customWidth="1"/>
    <col min="1283" max="1283" width="11.6640625" style="313" bestFit="1" customWidth="1"/>
    <col min="1284" max="1284" width="33.6640625" style="313" bestFit="1" customWidth="1"/>
    <col min="1285" max="1531" width="8.6640625" style="313"/>
    <col min="1532" max="1532" width="10.33203125" style="313" bestFit="1" customWidth="1"/>
    <col min="1533" max="1533" width="11.6640625" style="313" bestFit="1" customWidth="1"/>
    <col min="1534" max="1534" width="33.6640625" style="313" bestFit="1" customWidth="1"/>
    <col min="1535" max="1537" width="8.6640625" style="313"/>
    <col min="1538" max="1538" width="10.33203125" style="313" bestFit="1" customWidth="1"/>
    <col min="1539" max="1539" width="11.6640625" style="313" bestFit="1" customWidth="1"/>
    <col min="1540" max="1540" width="33.6640625" style="313" bestFit="1" customWidth="1"/>
    <col min="1541" max="1787" width="8.6640625" style="313"/>
    <col min="1788" max="1788" width="10.33203125" style="313" bestFit="1" customWidth="1"/>
    <col min="1789" max="1789" width="11.6640625" style="313" bestFit="1" customWidth="1"/>
    <col min="1790" max="1790" width="33.6640625" style="313" bestFit="1" customWidth="1"/>
    <col min="1791" max="1793" width="8.6640625" style="313"/>
    <col min="1794" max="1794" width="10.33203125" style="313" bestFit="1" customWidth="1"/>
    <col min="1795" max="1795" width="11.6640625" style="313" bestFit="1" customWidth="1"/>
    <col min="1796" max="1796" width="33.6640625" style="313" bestFit="1" customWidth="1"/>
    <col min="1797" max="2043" width="8.6640625" style="313"/>
    <col min="2044" max="2044" width="10.33203125" style="313" bestFit="1" customWidth="1"/>
    <col min="2045" max="2045" width="11.6640625" style="313" bestFit="1" customWidth="1"/>
    <col min="2046" max="2046" width="33.6640625" style="313" bestFit="1" customWidth="1"/>
    <col min="2047" max="2049" width="8.6640625" style="313"/>
    <col min="2050" max="2050" width="10.33203125" style="313" bestFit="1" customWidth="1"/>
    <col min="2051" max="2051" width="11.6640625" style="313" bestFit="1" customWidth="1"/>
    <col min="2052" max="2052" width="33.6640625" style="313" bestFit="1" customWidth="1"/>
    <col min="2053" max="2299" width="8.6640625" style="313"/>
    <col min="2300" max="2300" width="10.33203125" style="313" bestFit="1" customWidth="1"/>
    <col min="2301" max="2301" width="11.6640625" style="313" bestFit="1" customWidth="1"/>
    <col min="2302" max="2302" width="33.6640625" style="313" bestFit="1" customWidth="1"/>
    <col min="2303" max="2305" width="8.6640625" style="313"/>
    <col min="2306" max="2306" width="10.33203125" style="313" bestFit="1" customWidth="1"/>
    <col min="2307" max="2307" width="11.6640625" style="313" bestFit="1" customWidth="1"/>
    <col min="2308" max="2308" width="33.6640625" style="313" bestFit="1" customWidth="1"/>
    <col min="2309" max="2555" width="8.6640625" style="313"/>
    <col min="2556" max="2556" width="10.33203125" style="313" bestFit="1" customWidth="1"/>
    <col min="2557" max="2557" width="11.6640625" style="313" bestFit="1" customWidth="1"/>
    <col min="2558" max="2558" width="33.6640625" style="313" bestFit="1" customWidth="1"/>
    <col min="2559" max="2561" width="8.6640625" style="313"/>
    <col min="2562" max="2562" width="10.33203125" style="313" bestFit="1" customWidth="1"/>
    <col min="2563" max="2563" width="11.6640625" style="313" bestFit="1" customWidth="1"/>
    <col min="2564" max="2564" width="33.6640625" style="313" bestFit="1" customWidth="1"/>
    <col min="2565" max="2811" width="8.6640625" style="313"/>
    <col min="2812" max="2812" width="10.33203125" style="313" bestFit="1" customWidth="1"/>
    <col min="2813" max="2813" width="11.6640625" style="313" bestFit="1" customWidth="1"/>
    <col min="2814" max="2814" width="33.6640625" style="313" bestFit="1" customWidth="1"/>
    <col min="2815" max="2817" width="8.6640625" style="313"/>
    <col min="2818" max="2818" width="10.33203125" style="313" bestFit="1" customWidth="1"/>
    <col min="2819" max="2819" width="11.6640625" style="313" bestFit="1" customWidth="1"/>
    <col min="2820" max="2820" width="33.6640625" style="313" bestFit="1" customWidth="1"/>
    <col min="2821" max="3067" width="8.6640625" style="313"/>
    <col min="3068" max="3068" width="10.33203125" style="313" bestFit="1" customWidth="1"/>
    <col min="3069" max="3069" width="11.6640625" style="313" bestFit="1" customWidth="1"/>
    <col min="3070" max="3070" width="33.6640625" style="313" bestFit="1" customWidth="1"/>
    <col min="3071" max="3073" width="8.6640625" style="313"/>
    <col min="3074" max="3074" width="10.33203125" style="313" bestFit="1" customWidth="1"/>
    <col min="3075" max="3075" width="11.6640625" style="313" bestFit="1" customWidth="1"/>
    <col min="3076" max="3076" width="33.6640625" style="313" bestFit="1" customWidth="1"/>
    <col min="3077" max="3323" width="8.6640625" style="313"/>
    <col min="3324" max="3324" width="10.33203125" style="313" bestFit="1" customWidth="1"/>
    <col min="3325" max="3325" width="11.6640625" style="313" bestFit="1" customWidth="1"/>
    <col min="3326" max="3326" width="33.6640625" style="313" bestFit="1" customWidth="1"/>
    <col min="3327" max="3329" width="8.6640625" style="313"/>
    <col min="3330" max="3330" width="10.33203125" style="313" bestFit="1" customWidth="1"/>
    <col min="3331" max="3331" width="11.6640625" style="313" bestFit="1" customWidth="1"/>
    <col min="3332" max="3332" width="33.6640625" style="313" bestFit="1" customWidth="1"/>
    <col min="3333" max="3579" width="8.6640625" style="313"/>
    <col min="3580" max="3580" width="10.33203125" style="313" bestFit="1" customWidth="1"/>
    <col min="3581" max="3581" width="11.6640625" style="313" bestFit="1" customWidth="1"/>
    <col min="3582" max="3582" width="33.6640625" style="313" bestFit="1" customWidth="1"/>
    <col min="3583" max="3585" width="8.6640625" style="313"/>
    <col min="3586" max="3586" width="10.33203125" style="313" bestFit="1" customWidth="1"/>
    <col min="3587" max="3587" width="11.6640625" style="313" bestFit="1" customWidth="1"/>
    <col min="3588" max="3588" width="33.6640625" style="313" bestFit="1" customWidth="1"/>
    <col min="3589" max="3835" width="8.6640625" style="313"/>
    <col min="3836" max="3836" width="10.33203125" style="313" bestFit="1" customWidth="1"/>
    <col min="3837" max="3837" width="11.6640625" style="313" bestFit="1" customWidth="1"/>
    <col min="3838" max="3838" width="33.6640625" style="313" bestFit="1" customWidth="1"/>
    <col min="3839" max="3841" width="8.6640625" style="313"/>
    <col min="3842" max="3842" width="10.33203125" style="313" bestFit="1" customWidth="1"/>
    <col min="3843" max="3843" width="11.6640625" style="313" bestFit="1" customWidth="1"/>
    <col min="3844" max="3844" width="33.6640625" style="313" bestFit="1" customWidth="1"/>
    <col min="3845" max="4091" width="8.6640625" style="313"/>
    <col min="4092" max="4092" width="10.33203125" style="313" bestFit="1" customWidth="1"/>
    <col min="4093" max="4093" width="11.6640625" style="313" bestFit="1" customWidth="1"/>
    <col min="4094" max="4094" width="33.6640625" style="313" bestFit="1" customWidth="1"/>
    <col min="4095" max="4097" width="8.6640625" style="313"/>
    <col min="4098" max="4098" width="10.33203125" style="313" bestFit="1" customWidth="1"/>
    <col min="4099" max="4099" width="11.6640625" style="313" bestFit="1" customWidth="1"/>
    <col min="4100" max="4100" width="33.6640625" style="313" bestFit="1" customWidth="1"/>
    <col min="4101" max="4347" width="8.6640625" style="313"/>
    <col min="4348" max="4348" width="10.33203125" style="313" bestFit="1" customWidth="1"/>
    <col min="4349" max="4349" width="11.6640625" style="313" bestFit="1" customWidth="1"/>
    <col min="4350" max="4350" width="33.6640625" style="313" bestFit="1" customWidth="1"/>
    <col min="4351" max="4353" width="8.6640625" style="313"/>
    <col min="4354" max="4354" width="10.33203125" style="313" bestFit="1" customWidth="1"/>
    <col min="4355" max="4355" width="11.6640625" style="313" bestFit="1" customWidth="1"/>
    <col min="4356" max="4356" width="33.6640625" style="313" bestFit="1" customWidth="1"/>
    <col min="4357" max="4603" width="8.6640625" style="313"/>
    <col min="4604" max="4604" width="10.33203125" style="313" bestFit="1" customWidth="1"/>
    <col min="4605" max="4605" width="11.6640625" style="313" bestFit="1" customWidth="1"/>
    <col min="4606" max="4606" width="33.6640625" style="313" bestFit="1" customWidth="1"/>
    <col min="4607" max="4609" width="8.6640625" style="313"/>
    <col min="4610" max="4610" width="10.33203125" style="313" bestFit="1" customWidth="1"/>
    <col min="4611" max="4611" width="11.6640625" style="313" bestFit="1" customWidth="1"/>
    <col min="4612" max="4612" width="33.6640625" style="313" bestFit="1" customWidth="1"/>
    <col min="4613" max="4859" width="8.6640625" style="313"/>
    <col min="4860" max="4860" width="10.33203125" style="313" bestFit="1" customWidth="1"/>
    <col min="4861" max="4861" width="11.6640625" style="313" bestFit="1" customWidth="1"/>
    <col min="4862" max="4862" width="33.6640625" style="313" bestFit="1" customWidth="1"/>
    <col min="4863" max="4865" width="8.6640625" style="313"/>
    <col min="4866" max="4866" width="10.33203125" style="313" bestFit="1" customWidth="1"/>
    <col min="4867" max="4867" width="11.6640625" style="313" bestFit="1" customWidth="1"/>
    <col min="4868" max="4868" width="33.6640625" style="313" bestFit="1" customWidth="1"/>
    <col min="4869" max="5115" width="8.6640625" style="313"/>
    <col min="5116" max="5116" width="10.33203125" style="313" bestFit="1" customWidth="1"/>
    <col min="5117" max="5117" width="11.6640625" style="313" bestFit="1" customWidth="1"/>
    <col min="5118" max="5118" width="33.6640625" style="313" bestFit="1" customWidth="1"/>
    <col min="5119" max="5121" width="8.6640625" style="313"/>
    <col min="5122" max="5122" width="10.33203125" style="313" bestFit="1" customWidth="1"/>
    <col min="5123" max="5123" width="11.6640625" style="313" bestFit="1" customWidth="1"/>
    <col min="5124" max="5124" width="33.6640625" style="313" bestFit="1" customWidth="1"/>
    <col min="5125" max="5371" width="8.6640625" style="313"/>
    <col min="5372" max="5372" width="10.33203125" style="313" bestFit="1" customWidth="1"/>
    <col min="5373" max="5373" width="11.6640625" style="313" bestFit="1" customWidth="1"/>
    <col min="5374" max="5374" width="33.6640625" style="313" bestFit="1" customWidth="1"/>
    <col min="5375" max="5377" width="8.6640625" style="313"/>
    <col min="5378" max="5378" width="10.33203125" style="313" bestFit="1" customWidth="1"/>
    <col min="5379" max="5379" width="11.6640625" style="313" bestFit="1" customWidth="1"/>
    <col min="5380" max="5380" width="33.6640625" style="313" bestFit="1" customWidth="1"/>
    <col min="5381" max="5627" width="8.6640625" style="313"/>
    <col min="5628" max="5628" width="10.33203125" style="313" bestFit="1" customWidth="1"/>
    <col min="5629" max="5629" width="11.6640625" style="313" bestFit="1" customWidth="1"/>
    <col min="5630" max="5630" width="33.6640625" style="313" bestFit="1" customWidth="1"/>
    <col min="5631" max="5633" width="8.6640625" style="313"/>
    <col min="5634" max="5634" width="10.33203125" style="313" bestFit="1" customWidth="1"/>
    <col min="5635" max="5635" width="11.6640625" style="313" bestFit="1" customWidth="1"/>
    <col min="5636" max="5636" width="33.6640625" style="313" bestFit="1" customWidth="1"/>
    <col min="5637" max="5883" width="8.6640625" style="313"/>
    <col min="5884" max="5884" width="10.33203125" style="313" bestFit="1" customWidth="1"/>
    <col min="5885" max="5885" width="11.6640625" style="313" bestFit="1" customWidth="1"/>
    <col min="5886" max="5886" width="33.6640625" style="313" bestFit="1" customWidth="1"/>
    <col min="5887" max="5889" width="8.6640625" style="313"/>
    <col min="5890" max="5890" width="10.33203125" style="313" bestFit="1" customWidth="1"/>
    <col min="5891" max="5891" width="11.6640625" style="313" bestFit="1" customWidth="1"/>
    <col min="5892" max="5892" width="33.6640625" style="313" bestFit="1" customWidth="1"/>
    <col min="5893" max="6139" width="8.6640625" style="313"/>
    <col min="6140" max="6140" width="10.33203125" style="313" bestFit="1" customWidth="1"/>
    <col min="6141" max="6141" width="11.6640625" style="313" bestFit="1" customWidth="1"/>
    <col min="6142" max="6142" width="33.6640625" style="313" bestFit="1" customWidth="1"/>
    <col min="6143" max="6145" width="8.6640625" style="313"/>
    <col min="6146" max="6146" width="10.33203125" style="313" bestFit="1" customWidth="1"/>
    <col min="6147" max="6147" width="11.6640625" style="313" bestFit="1" customWidth="1"/>
    <col min="6148" max="6148" width="33.6640625" style="313" bestFit="1" customWidth="1"/>
    <col min="6149" max="6395" width="8.6640625" style="313"/>
    <col min="6396" max="6396" width="10.33203125" style="313" bestFit="1" customWidth="1"/>
    <col min="6397" max="6397" width="11.6640625" style="313" bestFit="1" customWidth="1"/>
    <col min="6398" max="6398" width="33.6640625" style="313" bestFit="1" customWidth="1"/>
    <col min="6399" max="6401" width="8.6640625" style="313"/>
    <col min="6402" max="6402" width="10.33203125" style="313" bestFit="1" customWidth="1"/>
    <col min="6403" max="6403" width="11.6640625" style="313" bestFit="1" customWidth="1"/>
    <col min="6404" max="6404" width="33.6640625" style="313" bestFit="1" customWidth="1"/>
    <col min="6405" max="6651" width="8.6640625" style="313"/>
    <col min="6652" max="6652" width="10.33203125" style="313" bestFit="1" customWidth="1"/>
    <col min="6653" max="6653" width="11.6640625" style="313" bestFit="1" customWidth="1"/>
    <col min="6654" max="6654" width="33.6640625" style="313" bestFit="1" customWidth="1"/>
    <col min="6655" max="6657" width="8.6640625" style="313"/>
    <col min="6658" max="6658" width="10.33203125" style="313" bestFit="1" customWidth="1"/>
    <col min="6659" max="6659" width="11.6640625" style="313" bestFit="1" customWidth="1"/>
    <col min="6660" max="6660" width="33.6640625" style="313" bestFit="1" customWidth="1"/>
    <col min="6661" max="6907" width="8.6640625" style="313"/>
    <col min="6908" max="6908" width="10.33203125" style="313" bestFit="1" customWidth="1"/>
    <col min="6909" max="6909" width="11.6640625" style="313" bestFit="1" customWidth="1"/>
    <col min="6910" max="6910" width="33.6640625" style="313" bestFit="1" customWidth="1"/>
    <col min="6911" max="6913" width="8.6640625" style="313"/>
    <col min="6914" max="6914" width="10.33203125" style="313" bestFit="1" customWidth="1"/>
    <col min="6915" max="6915" width="11.6640625" style="313" bestFit="1" customWidth="1"/>
    <col min="6916" max="6916" width="33.6640625" style="313" bestFit="1" customWidth="1"/>
    <col min="6917" max="7163" width="8.6640625" style="313"/>
    <col min="7164" max="7164" width="10.33203125" style="313" bestFit="1" customWidth="1"/>
    <col min="7165" max="7165" width="11.6640625" style="313" bestFit="1" customWidth="1"/>
    <col min="7166" max="7166" width="33.6640625" style="313" bestFit="1" customWidth="1"/>
    <col min="7167" max="7169" width="8.6640625" style="313"/>
    <col min="7170" max="7170" width="10.33203125" style="313" bestFit="1" customWidth="1"/>
    <col min="7171" max="7171" width="11.6640625" style="313" bestFit="1" customWidth="1"/>
    <col min="7172" max="7172" width="33.6640625" style="313" bestFit="1" customWidth="1"/>
    <col min="7173" max="7419" width="8.6640625" style="313"/>
    <col min="7420" max="7420" width="10.33203125" style="313" bestFit="1" customWidth="1"/>
    <col min="7421" max="7421" width="11.6640625" style="313" bestFit="1" customWidth="1"/>
    <col min="7422" max="7422" width="33.6640625" style="313" bestFit="1" customWidth="1"/>
    <col min="7423" max="7425" width="8.6640625" style="313"/>
    <col min="7426" max="7426" width="10.33203125" style="313" bestFit="1" customWidth="1"/>
    <col min="7427" max="7427" width="11.6640625" style="313" bestFit="1" customWidth="1"/>
    <col min="7428" max="7428" width="33.6640625" style="313" bestFit="1" customWidth="1"/>
    <col min="7429" max="7675" width="8.6640625" style="313"/>
    <col min="7676" max="7676" width="10.33203125" style="313" bestFit="1" customWidth="1"/>
    <col min="7677" max="7677" width="11.6640625" style="313" bestFit="1" customWidth="1"/>
    <col min="7678" max="7678" width="33.6640625" style="313" bestFit="1" customWidth="1"/>
    <col min="7679" max="7681" width="8.6640625" style="313"/>
    <col min="7682" max="7682" width="10.33203125" style="313" bestFit="1" customWidth="1"/>
    <col min="7683" max="7683" width="11.6640625" style="313" bestFit="1" customWidth="1"/>
    <col min="7684" max="7684" width="33.6640625" style="313" bestFit="1" customWidth="1"/>
    <col min="7685" max="7931" width="8.6640625" style="313"/>
    <col min="7932" max="7932" width="10.33203125" style="313" bestFit="1" customWidth="1"/>
    <col min="7933" max="7933" width="11.6640625" style="313" bestFit="1" customWidth="1"/>
    <col min="7934" max="7934" width="33.6640625" style="313" bestFit="1" customWidth="1"/>
    <col min="7935" max="7937" width="8.6640625" style="313"/>
    <col min="7938" max="7938" width="10.33203125" style="313" bestFit="1" customWidth="1"/>
    <col min="7939" max="7939" width="11.6640625" style="313" bestFit="1" customWidth="1"/>
    <col min="7940" max="7940" width="33.6640625" style="313" bestFit="1" customWidth="1"/>
    <col min="7941" max="8187" width="8.6640625" style="313"/>
    <col min="8188" max="8188" width="10.33203125" style="313" bestFit="1" customWidth="1"/>
    <col min="8189" max="8189" width="11.6640625" style="313" bestFit="1" customWidth="1"/>
    <col min="8190" max="8190" width="33.6640625" style="313" bestFit="1" customWidth="1"/>
    <col min="8191" max="8193" width="8.6640625" style="313"/>
    <col min="8194" max="8194" width="10.33203125" style="313" bestFit="1" customWidth="1"/>
    <col min="8195" max="8195" width="11.6640625" style="313" bestFit="1" customWidth="1"/>
    <col min="8196" max="8196" width="33.6640625" style="313" bestFit="1" customWidth="1"/>
    <col min="8197" max="8443" width="8.6640625" style="313"/>
    <col min="8444" max="8444" width="10.33203125" style="313" bestFit="1" customWidth="1"/>
    <col min="8445" max="8445" width="11.6640625" style="313" bestFit="1" customWidth="1"/>
    <col min="8446" max="8446" width="33.6640625" style="313" bestFit="1" customWidth="1"/>
    <col min="8447" max="8449" width="8.6640625" style="313"/>
    <col min="8450" max="8450" width="10.33203125" style="313" bestFit="1" customWidth="1"/>
    <col min="8451" max="8451" width="11.6640625" style="313" bestFit="1" customWidth="1"/>
    <col min="8452" max="8452" width="33.6640625" style="313" bestFit="1" customWidth="1"/>
    <col min="8453" max="8699" width="8.6640625" style="313"/>
    <col min="8700" max="8700" width="10.33203125" style="313" bestFit="1" customWidth="1"/>
    <col min="8701" max="8701" width="11.6640625" style="313" bestFit="1" customWidth="1"/>
    <col min="8702" max="8702" width="33.6640625" style="313" bestFit="1" customWidth="1"/>
    <col min="8703" max="8705" width="8.6640625" style="313"/>
    <col min="8706" max="8706" width="10.33203125" style="313" bestFit="1" customWidth="1"/>
    <col min="8707" max="8707" width="11.6640625" style="313" bestFit="1" customWidth="1"/>
    <col min="8708" max="8708" width="33.6640625" style="313" bestFit="1" customWidth="1"/>
    <col min="8709" max="8955" width="8.6640625" style="313"/>
    <col min="8956" max="8956" width="10.33203125" style="313" bestFit="1" customWidth="1"/>
    <col min="8957" max="8957" width="11.6640625" style="313" bestFit="1" customWidth="1"/>
    <col min="8958" max="8958" width="33.6640625" style="313" bestFit="1" customWidth="1"/>
    <col min="8959" max="8961" width="8.6640625" style="313"/>
    <col min="8962" max="8962" width="10.33203125" style="313" bestFit="1" customWidth="1"/>
    <col min="8963" max="8963" width="11.6640625" style="313" bestFit="1" customWidth="1"/>
    <col min="8964" max="8964" width="33.6640625" style="313" bestFit="1" customWidth="1"/>
    <col min="8965" max="9211" width="8.6640625" style="313"/>
    <col min="9212" max="9212" width="10.33203125" style="313" bestFit="1" customWidth="1"/>
    <col min="9213" max="9213" width="11.6640625" style="313" bestFit="1" customWidth="1"/>
    <col min="9214" max="9214" width="33.6640625" style="313" bestFit="1" customWidth="1"/>
    <col min="9215" max="9217" width="8.6640625" style="313"/>
    <col min="9218" max="9218" width="10.33203125" style="313" bestFit="1" customWidth="1"/>
    <col min="9219" max="9219" width="11.6640625" style="313" bestFit="1" customWidth="1"/>
    <col min="9220" max="9220" width="33.6640625" style="313" bestFit="1" customWidth="1"/>
    <col min="9221" max="9467" width="8.6640625" style="313"/>
    <col min="9468" max="9468" width="10.33203125" style="313" bestFit="1" customWidth="1"/>
    <col min="9469" max="9469" width="11.6640625" style="313" bestFit="1" customWidth="1"/>
    <col min="9470" max="9470" width="33.6640625" style="313" bestFit="1" customWidth="1"/>
    <col min="9471" max="9473" width="8.6640625" style="313"/>
    <col min="9474" max="9474" width="10.33203125" style="313" bestFit="1" customWidth="1"/>
    <col min="9475" max="9475" width="11.6640625" style="313" bestFit="1" customWidth="1"/>
    <col min="9476" max="9476" width="33.6640625" style="313" bestFit="1" customWidth="1"/>
    <col min="9477" max="9723" width="8.6640625" style="313"/>
    <col min="9724" max="9724" width="10.33203125" style="313" bestFit="1" customWidth="1"/>
    <col min="9725" max="9725" width="11.6640625" style="313" bestFit="1" customWidth="1"/>
    <col min="9726" max="9726" width="33.6640625" style="313" bestFit="1" customWidth="1"/>
    <col min="9727" max="9729" width="8.6640625" style="313"/>
    <col min="9730" max="9730" width="10.33203125" style="313" bestFit="1" customWidth="1"/>
    <col min="9731" max="9731" width="11.6640625" style="313" bestFit="1" customWidth="1"/>
    <col min="9732" max="9732" width="33.6640625" style="313" bestFit="1" customWidth="1"/>
    <col min="9733" max="9979" width="8.6640625" style="313"/>
    <col min="9980" max="9980" width="10.33203125" style="313" bestFit="1" customWidth="1"/>
    <col min="9981" max="9981" width="11.6640625" style="313" bestFit="1" customWidth="1"/>
    <col min="9982" max="9982" width="33.6640625" style="313" bestFit="1" customWidth="1"/>
    <col min="9983" max="9985" width="8.6640625" style="313"/>
    <col min="9986" max="9986" width="10.33203125" style="313" bestFit="1" customWidth="1"/>
    <col min="9987" max="9987" width="11.6640625" style="313" bestFit="1" customWidth="1"/>
    <col min="9988" max="9988" width="33.6640625" style="313" bestFit="1" customWidth="1"/>
    <col min="9989" max="10235" width="8.6640625" style="313"/>
    <col min="10236" max="10236" width="10.33203125" style="313" bestFit="1" customWidth="1"/>
    <col min="10237" max="10237" width="11.6640625" style="313" bestFit="1" customWidth="1"/>
    <col min="10238" max="10238" width="33.6640625" style="313" bestFit="1" customWidth="1"/>
    <col min="10239" max="10241" width="8.6640625" style="313"/>
    <col min="10242" max="10242" width="10.33203125" style="313" bestFit="1" customWidth="1"/>
    <col min="10243" max="10243" width="11.6640625" style="313" bestFit="1" customWidth="1"/>
    <col min="10244" max="10244" width="33.6640625" style="313" bestFit="1" customWidth="1"/>
    <col min="10245" max="10491" width="8.6640625" style="313"/>
    <col min="10492" max="10492" width="10.33203125" style="313" bestFit="1" customWidth="1"/>
    <col min="10493" max="10493" width="11.6640625" style="313" bestFit="1" customWidth="1"/>
    <col min="10494" max="10494" width="33.6640625" style="313" bestFit="1" customWidth="1"/>
    <col min="10495" max="10497" width="8.6640625" style="313"/>
    <col min="10498" max="10498" width="10.33203125" style="313" bestFit="1" customWidth="1"/>
    <col min="10499" max="10499" width="11.6640625" style="313" bestFit="1" customWidth="1"/>
    <col min="10500" max="10500" width="33.6640625" style="313" bestFit="1" customWidth="1"/>
    <col min="10501" max="10747" width="8.6640625" style="313"/>
    <col min="10748" max="10748" width="10.33203125" style="313" bestFit="1" customWidth="1"/>
    <col min="10749" max="10749" width="11.6640625" style="313" bestFit="1" customWidth="1"/>
    <col min="10750" max="10750" width="33.6640625" style="313" bestFit="1" customWidth="1"/>
    <col min="10751" max="10753" width="8.6640625" style="313"/>
    <col min="10754" max="10754" width="10.33203125" style="313" bestFit="1" customWidth="1"/>
    <col min="10755" max="10755" width="11.6640625" style="313" bestFit="1" customWidth="1"/>
    <col min="10756" max="10756" width="33.6640625" style="313" bestFit="1" customWidth="1"/>
    <col min="10757" max="11003" width="8.6640625" style="313"/>
    <col min="11004" max="11004" width="10.33203125" style="313" bestFit="1" customWidth="1"/>
    <col min="11005" max="11005" width="11.6640625" style="313" bestFit="1" customWidth="1"/>
    <col min="11006" max="11006" width="33.6640625" style="313" bestFit="1" customWidth="1"/>
    <col min="11007" max="11009" width="8.6640625" style="313"/>
    <col min="11010" max="11010" width="10.33203125" style="313" bestFit="1" customWidth="1"/>
    <col min="11011" max="11011" width="11.6640625" style="313" bestFit="1" customWidth="1"/>
    <col min="11012" max="11012" width="33.6640625" style="313" bestFit="1" customWidth="1"/>
    <col min="11013" max="11259" width="8.6640625" style="313"/>
    <col min="11260" max="11260" width="10.33203125" style="313" bestFit="1" customWidth="1"/>
    <col min="11261" max="11261" width="11.6640625" style="313" bestFit="1" customWidth="1"/>
    <col min="11262" max="11262" width="33.6640625" style="313" bestFit="1" customWidth="1"/>
    <col min="11263" max="11265" width="8.6640625" style="313"/>
    <col min="11266" max="11266" width="10.33203125" style="313" bestFit="1" customWidth="1"/>
    <col min="11267" max="11267" width="11.6640625" style="313" bestFit="1" customWidth="1"/>
    <col min="11268" max="11268" width="33.6640625" style="313" bestFit="1" customWidth="1"/>
    <col min="11269" max="11515" width="8.6640625" style="313"/>
    <col min="11516" max="11516" width="10.33203125" style="313" bestFit="1" customWidth="1"/>
    <col min="11517" max="11517" width="11.6640625" style="313" bestFit="1" customWidth="1"/>
    <col min="11518" max="11518" width="33.6640625" style="313" bestFit="1" customWidth="1"/>
    <col min="11519" max="11521" width="8.6640625" style="313"/>
    <col min="11522" max="11522" width="10.33203125" style="313" bestFit="1" customWidth="1"/>
    <col min="11523" max="11523" width="11.6640625" style="313" bestFit="1" customWidth="1"/>
    <col min="11524" max="11524" width="33.6640625" style="313" bestFit="1" customWidth="1"/>
    <col min="11525" max="11771" width="8.6640625" style="313"/>
    <col min="11772" max="11772" width="10.33203125" style="313" bestFit="1" customWidth="1"/>
    <col min="11773" max="11773" width="11.6640625" style="313" bestFit="1" customWidth="1"/>
    <col min="11774" max="11774" width="33.6640625" style="313" bestFit="1" customWidth="1"/>
    <col min="11775" max="11777" width="8.6640625" style="313"/>
    <col min="11778" max="11778" width="10.33203125" style="313" bestFit="1" customWidth="1"/>
    <col min="11779" max="11779" width="11.6640625" style="313" bestFit="1" customWidth="1"/>
    <col min="11780" max="11780" width="33.6640625" style="313" bestFit="1" customWidth="1"/>
    <col min="11781" max="12027" width="8.6640625" style="313"/>
    <col min="12028" max="12028" width="10.33203125" style="313" bestFit="1" customWidth="1"/>
    <col min="12029" max="12029" width="11.6640625" style="313" bestFit="1" customWidth="1"/>
    <col min="12030" max="12030" width="33.6640625" style="313" bestFit="1" customWidth="1"/>
    <col min="12031" max="12033" width="8.6640625" style="313"/>
    <col min="12034" max="12034" width="10.33203125" style="313" bestFit="1" customWidth="1"/>
    <col min="12035" max="12035" width="11.6640625" style="313" bestFit="1" customWidth="1"/>
    <col min="12036" max="12036" width="33.6640625" style="313" bestFit="1" customWidth="1"/>
    <col min="12037" max="12283" width="8.6640625" style="313"/>
    <col min="12284" max="12284" width="10.33203125" style="313" bestFit="1" customWidth="1"/>
    <col min="12285" max="12285" width="11.6640625" style="313" bestFit="1" customWidth="1"/>
    <col min="12286" max="12286" width="33.6640625" style="313" bestFit="1" customWidth="1"/>
    <col min="12287" max="12289" width="8.6640625" style="313"/>
    <col min="12290" max="12290" width="10.33203125" style="313" bestFit="1" customWidth="1"/>
    <col min="12291" max="12291" width="11.6640625" style="313" bestFit="1" customWidth="1"/>
    <col min="12292" max="12292" width="33.6640625" style="313" bestFit="1" customWidth="1"/>
    <col min="12293" max="12539" width="8.6640625" style="313"/>
    <col min="12540" max="12540" width="10.33203125" style="313" bestFit="1" customWidth="1"/>
    <col min="12541" max="12541" width="11.6640625" style="313" bestFit="1" customWidth="1"/>
    <col min="12542" max="12542" width="33.6640625" style="313" bestFit="1" customWidth="1"/>
    <col min="12543" max="12545" width="8.6640625" style="313"/>
    <col min="12546" max="12546" width="10.33203125" style="313" bestFit="1" customWidth="1"/>
    <col min="12547" max="12547" width="11.6640625" style="313" bestFit="1" customWidth="1"/>
    <col min="12548" max="12548" width="33.6640625" style="313" bestFit="1" customWidth="1"/>
    <col min="12549" max="12795" width="8.6640625" style="313"/>
    <col min="12796" max="12796" width="10.33203125" style="313" bestFit="1" customWidth="1"/>
    <col min="12797" max="12797" width="11.6640625" style="313" bestFit="1" customWidth="1"/>
    <col min="12798" max="12798" width="33.6640625" style="313" bestFit="1" customWidth="1"/>
    <col min="12799" max="12801" width="8.6640625" style="313"/>
    <col min="12802" max="12802" width="10.33203125" style="313" bestFit="1" customWidth="1"/>
    <col min="12803" max="12803" width="11.6640625" style="313" bestFit="1" customWidth="1"/>
    <col min="12804" max="12804" width="33.6640625" style="313" bestFit="1" customWidth="1"/>
    <col min="12805" max="13051" width="8.6640625" style="313"/>
    <col min="13052" max="13052" width="10.33203125" style="313" bestFit="1" customWidth="1"/>
    <col min="13053" max="13053" width="11.6640625" style="313" bestFit="1" customWidth="1"/>
    <col min="13054" max="13054" width="33.6640625" style="313" bestFit="1" customWidth="1"/>
    <col min="13055" max="13057" width="8.6640625" style="313"/>
    <col min="13058" max="13058" width="10.33203125" style="313" bestFit="1" customWidth="1"/>
    <col min="13059" max="13059" width="11.6640625" style="313" bestFit="1" customWidth="1"/>
    <col min="13060" max="13060" width="33.6640625" style="313" bestFit="1" customWidth="1"/>
    <col min="13061" max="13307" width="8.6640625" style="313"/>
    <col min="13308" max="13308" width="10.33203125" style="313" bestFit="1" customWidth="1"/>
    <col min="13309" max="13309" width="11.6640625" style="313" bestFit="1" customWidth="1"/>
    <col min="13310" max="13310" width="33.6640625" style="313" bestFit="1" customWidth="1"/>
    <col min="13311" max="13313" width="8.6640625" style="313"/>
    <col min="13314" max="13314" width="10.33203125" style="313" bestFit="1" customWidth="1"/>
    <col min="13315" max="13315" width="11.6640625" style="313" bestFit="1" customWidth="1"/>
    <col min="13316" max="13316" width="33.6640625" style="313" bestFit="1" customWidth="1"/>
    <col min="13317" max="13563" width="8.6640625" style="313"/>
    <col min="13564" max="13564" width="10.33203125" style="313" bestFit="1" customWidth="1"/>
    <col min="13565" max="13565" width="11.6640625" style="313" bestFit="1" customWidth="1"/>
    <col min="13566" max="13566" width="33.6640625" style="313" bestFit="1" customWidth="1"/>
    <col min="13567" max="13569" width="8.6640625" style="313"/>
    <col min="13570" max="13570" width="10.33203125" style="313" bestFit="1" customWidth="1"/>
    <col min="13571" max="13571" width="11.6640625" style="313" bestFit="1" customWidth="1"/>
    <col min="13572" max="13572" width="33.6640625" style="313" bestFit="1" customWidth="1"/>
    <col min="13573" max="13819" width="8.6640625" style="313"/>
    <col min="13820" max="13820" width="10.33203125" style="313" bestFit="1" customWidth="1"/>
    <col min="13821" max="13821" width="11.6640625" style="313" bestFit="1" customWidth="1"/>
    <col min="13822" max="13822" width="33.6640625" style="313" bestFit="1" customWidth="1"/>
    <col min="13823" max="13825" width="8.6640625" style="313"/>
    <col min="13826" max="13826" width="10.33203125" style="313" bestFit="1" customWidth="1"/>
    <col min="13827" max="13827" width="11.6640625" style="313" bestFit="1" customWidth="1"/>
    <col min="13828" max="13828" width="33.6640625" style="313" bestFit="1" customWidth="1"/>
    <col min="13829" max="14075" width="8.6640625" style="313"/>
    <col min="14076" max="14076" width="10.33203125" style="313" bestFit="1" customWidth="1"/>
    <col min="14077" max="14077" width="11.6640625" style="313" bestFit="1" customWidth="1"/>
    <col min="14078" max="14078" width="33.6640625" style="313" bestFit="1" customWidth="1"/>
    <col min="14079" max="14081" width="8.6640625" style="313"/>
    <col min="14082" max="14082" width="10.33203125" style="313" bestFit="1" customWidth="1"/>
    <col min="14083" max="14083" width="11.6640625" style="313" bestFit="1" customWidth="1"/>
    <col min="14084" max="14084" width="33.6640625" style="313" bestFit="1" customWidth="1"/>
    <col min="14085" max="14331" width="8.6640625" style="313"/>
    <col min="14332" max="14332" width="10.33203125" style="313" bestFit="1" customWidth="1"/>
    <col min="14333" max="14333" width="11.6640625" style="313" bestFit="1" customWidth="1"/>
    <col min="14334" max="14334" width="33.6640625" style="313" bestFit="1" customWidth="1"/>
    <col min="14335" max="14337" width="8.6640625" style="313"/>
    <col min="14338" max="14338" width="10.33203125" style="313" bestFit="1" customWidth="1"/>
    <col min="14339" max="14339" width="11.6640625" style="313" bestFit="1" customWidth="1"/>
    <col min="14340" max="14340" width="33.6640625" style="313" bestFit="1" customWidth="1"/>
    <col min="14341" max="14587" width="8.6640625" style="313"/>
    <col min="14588" max="14588" width="10.33203125" style="313" bestFit="1" customWidth="1"/>
    <col min="14589" max="14589" width="11.6640625" style="313" bestFit="1" customWidth="1"/>
    <col min="14590" max="14590" width="33.6640625" style="313" bestFit="1" customWidth="1"/>
    <col min="14591" max="14593" width="8.6640625" style="313"/>
    <col min="14594" max="14594" width="10.33203125" style="313" bestFit="1" customWidth="1"/>
    <col min="14595" max="14595" width="11.6640625" style="313" bestFit="1" customWidth="1"/>
    <col min="14596" max="14596" width="33.6640625" style="313" bestFit="1" customWidth="1"/>
    <col min="14597" max="14843" width="8.6640625" style="313"/>
    <col min="14844" max="14844" width="10.33203125" style="313" bestFit="1" customWidth="1"/>
    <col min="14845" max="14845" width="11.6640625" style="313" bestFit="1" customWidth="1"/>
    <col min="14846" max="14846" width="33.6640625" style="313" bestFit="1" customWidth="1"/>
    <col min="14847" max="14849" width="8.6640625" style="313"/>
    <col min="14850" max="14850" width="10.33203125" style="313" bestFit="1" customWidth="1"/>
    <col min="14851" max="14851" width="11.6640625" style="313" bestFit="1" customWidth="1"/>
    <col min="14852" max="14852" width="33.6640625" style="313" bestFit="1" customWidth="1"/>
    <col min="14853" max="15099" width="8.6640625" style="313"/>
    <col min="15100" max="15100" width="10.33203125" style="313" bestFit="1" customWidth="1"/>
    <col min="15101" max="15101" width="11.6640625" style="313" bestFit="1" customWidth="1"/>
    <col min="15102" max="15102" width="33.6640625" style="313" bestFit="1" customWidth="1"/>
    <col min="15103" max="15105" width="8.6640625" style="313"/>
    <col min="15106" max="15106" width="10.33203125" style="313" bestFit="1" customWidth="1"/>
    <col min="15107" max="15107" width="11.6640625" style="313" bestFit="1" customWidth="1"/>
    <col min="15108" max="15108" width="33.6640625" style="313" bestFit="1" customWidth="1"/>
    <col min="15109" max="15355" width="8.6640625" style="313"/>
    <col min="15356" max="15356" width="10.33203125" style="313" bestFit="1" customWidth="1"/>
    <col min="15357" max="15357" width="11.6640625" style="313" bestFit="1" customWidth="1"/>
    <col min="15358" max="15358" width="33.6640625" style="313" bestFit="1" customWidth="1"/>
    <col min="15359" max="15361" width="8.6640625" style="313"/>
    <col min="15362" max="15362" width="10.33203125" style="313" bestFit="1" customWidth="1"/>
    <col min="15363" max="15363" width="11.6640625" style="313" bestFit="1" customWidth="1"/>
    <col min="15364" max="15364" width="33.6640625" style="313" bestFit="1" customWidth="1"/>
    <col min="15365" max="15611" width="8.6640625" style="313"/>
    <col min="15612" max="15612" width="10.33203125" style="313" bestFit="1" customWidth="1"/>
    <col min="15613" max="15613" width="11.6640625" style="313" bestFit="1" customWidth="1"/>
    <col min="15614" max="15614" width="33.6640625" style="313" bestFit="1" customWidth="1"/>
    <col min="15615" max="15617" width="8.6640625" style="313"/>
    <col min="15618" max="15618" width="10.33203125" style="313" bestFit="1" customWidth="1"/>
    <col min="15619" max="15619" width="11.6640625" style="313" bestFit="1" customWidth="1"/>
    <col min="15620" max="15620" width="33.6640625" style="313" bestFit="1" customWidth="1"/>
    <col min="15621" max="15867" width="8.6640625" style="313"/>
    <col min="15868" max="15868" width="10.33203125" style="313" bestFit="1" customWidth="1"/>
    <col min="15869" max="15869" width="11.6640625" style="313" bestFit="1" customWidth="1"/>
    <col min="15870" max="15870" width="33.6640625" style="313" bestFit="1" customWidth="1"/>
    <col min="15871" max="15873" width="8.6640625" style="313"/>
    <col min="15874" max="15874" width="10.33203125" style="313" bestFit="1" customWidth="1"/>
    <col min="15875" max="15875" width="11.6640625" style="313" bestFit="1" customWidth="1"/>
    <col min="15876" max="15876" width="33.6640625" style="313" bestFit="1" customWidth="1"/>
    <col min="15877" max="16123" width="8.6640625" style="313"/>
    <col min="16124" max="16124" width="10.33203125" style="313" bestFit="1" customWidth="1"/>
    <col min="16125" max="16125" width="11.6640625" style="313" bestFit="1" customWidth="1"/>
    <col min="16126" max="16126" width="33.6640625" style="313" bestFit="1" customWidth="1"/>
    <col min="16127" max="16129" width="8.6640625" style="313"/>
    <col min="16130" max="16130" width="10.33203125" style="313" bestFit="1" customWidth="1"/>
    <col min="16131" max="16131" width="11.6640625" style="313" bestFit="1" customWidth="1"/>
    <col min="16132" max="16132" width="33.6640625" style="313" bestFit="1" customWidth="1"/>
    <col min="16133" max="16379" width="8.6640625" style="313"/>
    <col min="16380" max="16380" width="10.33203125" style="313" bestFit="1" customWidth="1"/>
    <col min="16381" max="16381" width="11.6640625" style="313" bestFit="1" customWidth="1"/>
    <col min="16382" max="16382" width="33.6640625" style="313" bestFit="1" customWidth="1"/>
    <col min="16383" max="16384" width="8.6640625" style="313"/>
  </cols>
  <sheetData>
    <row r="1" spans="2:4" ht="16.2" thickBot="1" x14ac:dyDescent="0.35"/>
    <row r="2" spans="2:4" x14ac:dyDescent="0.3">
      <c r="B2" s="314" t="s">
        <v>1</v>
      </c>
      <c r="C2" s="315"/>
      <c r="D2" s="316"/>
    </row>
    <row r="3" spans="2:4" x14ac:dyDescent="0.3">
      <c r="B3" s="317">
        <v>46084</v>
      </c>
      <c r="C3" s="318" t="s">
        <v>150</v>
      </c>
      <c r="D3" s="319" t="s">
        <v>4</v>
      </c>
    </row>
    <row r="4" spans="2:4" x14ac:dyDescent="0.3">
      <c r="B4" s="317">
        <v>46100</v>
      </c>
      <c r="C4" s="318" t="s">
        <v>151</v>
      </c>
      <c r="D4" s="319" t="s">
        <v>6</v>
      </c>
    </row>
    <row r="5" spans="2:4" x14ac:dyDescent="0.3">
      <c r="B5" s="317">
        <v>46102</v>
      </c>
      <c r="C5" s="318" t="s">
        <v>152</v>
      </c>
      <c r="D5" s="319" t="s">
        <v>153</v>
      </c>
    </row>
    <row r="6" spans="2:4" x14ac:dyDescent="0.3">
      <c r="B6" s="317">
        <v>46103</v>
      </c>
      <c r="C6" s="318" t="s">
        <v>154</v>
      </c>
      <c r="D6" s="319" t="s">
        <v>8</v>
      </c>
    </row>
    <row r="7" spans="2:4" x14ac:dyDescent="0.3">
      <c r="B7" s="320" t="s">
        <v>155</v>
      </c>
      <c r="C7" s="318" t="s">
        <v>156</v>
      </c>
      <c r="D7" s="319" t="s">
        <v>9</v>
      </c>
    </row>
    <row r="8" spans="2:4" x14ac:dyDescent="0.3">
      <c r="B8" s="320"/>
      <c r="C8" s="318"/>
      <c r="D8" s="319"/>
    </row>
    <row r="9" spans="2:4" x14ac:dyDescent="0.3">
      <c r="B9" s="321" t="s">
        <v>149</v>
      </c>
      <c r="C9" s="318"/>
      <c r="D9" s="319"/>
    </row>
    <row r="10" spans="2:4" x14ac:dyDescent="0.3">
      <c r="B10" s="322">
        <v>46115</v>
      </c>
      <c r="C10" s="318" t="s">
        <v>156</v>
      </c>
      <c r="D10" s="319" t="s">
        <v>12</v>
      </c>
    </row>
    <row r="11" spans="2:4" x14ac:dyDescent="0.3">
      <c r="B11" s="322">
        <v>46117</v>
      </c>
      <c r="C11" s="318" t="s">
        <v>154</v>
      </c>
      <c r="D11" s="323" t="s">
        <v>157</v>
      </c>
    </row>
    <row r="12" spans="2:4" x14ac:dyDescent="0.3">
      <c r="B12" s="322">
        <v>46126</v>
      </c>
      <c r="C12" s="318" t="s">
        <v>150</v>
      </c>
      <c r="D12" s="319" t="s">
        <v>14</v>
      </c>
    </row>
    <row r="13" spans="2:4" x14ac:dyDescent="0.3">
      <c r="B13" s="324"/>
      <c r="C13" s="318"/>
      <c r="D13" s="319"/>
    </row>
    <row r="14" spans="2:4" x14ac:dyDescent="0.3">
      <c r="B14" s="321" t="s">
        <v>17</v>
      </c>
      <c r="C14" s="318"/>
      <c r="D14" s="319"/>
    </row>
    <row r="15" spans="2:4" x14ac:dyDescent="0.3">
      <c r="B15" s="322">
        <v>46143</v>
      </c>
      <c r="C15" s="318" t="s">
        <v>156</v>
      </c>
      <c r="D15" s="319" t="s">
        <v>158</v>
      </c>
    </row>
    <row r="16" spans="2:4" x14ac:dyDescent="0.3">
      <c r="B16" s="322">
        <v>46169</v>
      </c>
      <c r="C16" s="318" t="s">
        <v>159</v>
      </c>
      <c r="D16" s="319" t="s">
        <v>22</v>
      </c>
    </row>
    <row r="17" spans="2:4" x14ac:dyDescent="0.3">
      <c r="B17" s="324"/>
      <c r="C17" s="318"/>
      <c r="D17" s="319"/>
    </row>
    <row r="18" spans="2:4" x14ac:dyDescent="0.3">
      <c r="B18" s="321" t="s">
        <v>23</v>
      </c>
      <c r="C18" s="318"/>
      <c r="D18" s="319"/>
    </row>
    <row r="19" spans="2:4" x14ac:dyDescent="0.3">
      <c r="B19" s="322">
        <v>46199</v>
      </c>
      <c r="C19" s="318" t="s">
        <v>156</v>
      </c>
      <c r="D19" s="319" t="s">
        <v>160</v>
      </c>
    </row>
    <row r="20" spans="2:4" x14ac:dyDescent="0.3">
      <c r="B20" s="324"/>
      <c r="C20" s="318"/>
      <c r="D20" s="319"/>
    </row>
    <row r="21" spans="2:4" x14ac:dyDescent="0.3">
      <c r="B21" s="321" t="s">
        <v>31</v>
      </c>
      <c r="C21" s="318"/>
      <c r="D21" s="319"/>
    </row>
    <row r="22" spans="2:4" x14ac:dyDescent="0.3">
      <c r="B22" s="322"/>
      <c r="C22" s="318"/>
      <c r="D22" s="319"/>
    </row>
    <row r="23" spans="2:4" x14ac:dyDescent="0.3">
      <c r="B23" s="324"/>
      <c r="C23" s="318"/>
      <c r="D23" s="319"/>
    </row>
    <row r="24" spans="2:4" x14ac:dyDescent="0.3">
      <c r="B24" s="321" t="s">
        <v>38</v>
      </c>
      <c r="C24" s="318"/>
      <c r="D24" s="319"/>
    </row>
    <row r="25" spans="2:4" x14ac:dyDescent="0.3">
      <c r="B25" s="322">
        <v>46244</v>
      </c>
      <c r="C25" s="318" t="s">
        <v>154</v>
      </c>
      <c r="D25" s="319" t="s">
        <v>41</v>
      </c>
    </row>
    <row r="26" spans="2:4" x14ac:dyDescent="0.3">
      <c r="B26" s="322">
        <v>46260</v>
      </c>
      <c r="C26" s="318" t="s">
        <v>161</v>
      </c>
      <c r="D26" s="319" t="s">
        <v>162</v>
      </c>
    </row>
    <row r="27" spans="2:4" x14ac:dyDescent="0.3">
      <c r="B27" s="325">
        <v>46262</v>
      </c>
      <c r="C27" s="326" t="s">
        <v>156</v>
      </c>
      <c r="D27" s="327" t="s">
        <v>163</v>
      </c>
    </row>
    <row r="28" spans="2:4" x14ac:dyDescent="0.3">
      <c r="B28" s="324"/>
      <c r="C28" s="318"/>
      <c r="D28" s="319"/>
    </row>
    <row r="29" spans="2:4" x14ac:dyDescent="0.3">
      <c r="B29" s="321" t="s">
        <v>44</v>
      </c>
      <c r="C29" s="318"/>
      <c r="D29" s="319"/>
    </row>
    <row r="30" spans="2:4" x14ac:dyDescent="0.3">
      <c r="B30" s="322">
        <v>46269</v>
      </c>
      <c r="C30" s="318" t="s">
        <v>156</v>
      </c>
      <c r="D30" s="319" t="s">
        <v>46</v>
      </c>
    </row>
    <row r="31" spans="2:4" x14ac:dyDescent="0.3">
      <c r="B31" s="322">
        <v>46279</v>
      </c>
      <c r="C31" s="318" t="s">
        <v>3</v>
      </c>
      <c r="D31" s="319" t="s">
        <v>48</v>
      </c>
    </row>
    <row r="32" spans="2:4" x14ac:dyDescent="0.3">
      <c r="B32" s="324"/>
      <c r="C32" s="318"/>
      <c r="D32" s="319"/>
    </row>
    <row r="33" spans="2:4" x14ac:dyDescent="0.3">
      <c r="B33" s="321" t="s">
        <v>50</v>
      </c>
      <c r="C33" s="318"/>
      <c r="D33" s="319"/>
    </row>
    <row r="34" spans="2:4" x14ac:dyDescent="0.3">
      <c r="B34" s="322">
        <v>46297</v>
      </c>
      <c r="C34" s="318" t="s">
        <v>156</v>
      </c>
      <c r="D34" s="319" t="s">
        <v>164</v>
      </c>
    </row>
    <row r="35" spans="2:4" x14ac:dyDescent="0.3">
      <c r="B35" s="317" t="s">
        <v>165</v>
      </c>
      <c r="C35" s="328"/>
      <c r="D35" s="319" t="s">
        <v>166</v>
      </c>
    </row>
    <row r="36" spans="2:4" x14ac:dyDescent="0.3">
      <c r="B36" s="324"/>
      <c r="C36" s="318"/>
      <c r="D36" s="319"/>
    </row>
    <row r="37" spans="2:4" x14ac:dyDescent="0.3">
      <c r="B37" s="321" t="s">
        <v>63</v>
      </c>
      <c r="C37" s="318"/>
      <c r="D37" s="319"/>
    </row>
    <row r="38" spans="2:4" x14ac:dyDescent="0.3">
      <c r="B38" s="322">
        <v>46334</v>
      </c>
      <c r="C38" s="318" t="s">
        <v>154</v>
      </c>
      <c r="D38" s="319" t="s">
        <v>167</v>
      </c>
    </row>
    <row r="39" spans="2:4" x14ac:dyDescent="0.3">
      <c r="B39" s="322">
        <v>46350</v>
      </c>
      <c r="C39" s="318" t="s">
        <v>150</v>
      </c>
      <c r="D39" s="319" t="s">
        <v>168</v>
      </c>
    </row>
    <row r="40" spans="2:4" x14ac:dyDescent="0.3">
      <c r="B40" s="324"/>
      <c r="C40" s="318"/>
      <c r="D40" s="319"/>
    </row>
    <row r="41" spans="2:4" x14ac:dyDescent="0.3">
      <c r="B41" s="321" t="s">
        <v>68</v>
      </c>
      <c r="C41" s="318"/>
      <c r="D41" s="319"/>
    </row>
    <row r="42" spans="2:4" x14ac:dyDescent="0.3">
      <c r="B42" s="322">
        <v>46381</v>
      </c>
      <c r="C42" s="318" t="s">
        <v>156</v>
      </c>
      <c r="D42" s="319" t="s">
        <v>169</v>
      </c>
    </row>
    <row r="43" spans="2:4" x14ac:dyDescent="0.3">
      <c r="B43" s="322">
        <v>46382</v>
      </c>
      <c r="C43" s="318" t="s">
        <v>152</v>
      </c>
      <c r="D43" s="319" t="s">
        <v>170</v>
      </c>
    </row>
    <row r="44" spans="2:4" x14ac:dyDescent="0.3">
      <c r="B44" s="324"/>
      <c r="C44" s="318"/>
      <c r="D44" s="319"/>
    </row>
    <row r="45" spans="2:4" x14ac:dyDescent="0.3">
      <c r="B45" s="321" t="s">
        <v>74</v>
      </c>
      <c r="C45" s="318"/>
      <c r="D45" s="319"/>
    </row>
    <row r="46" spans="2:4" x14ac:dyDescent="0.3">
      <c r="B46" s="322">
        <v>46388</v>
      </c>
      <c r="C46" s="318" t="s">
        <v>151</v>
      </c>
      <c r="D46" s="319" t="s">
        <v>76</v>
      </c>
    </row>
    <row r="47" spans="2:4" x14ac:dyDescent="0.3">
      <c r="B47" s="329" t="s">
        <v>171</v>
      </c>
      <c r="C47" s="330"/>
      <c r="D47" s="319" t="s">
        <v>172</v>
      </c>
    </row>
    <row r="48" spans="2:4" x14ac:dyDescent="0.3">
      <c r="B48" s="324"/>
      <c r="C48" s="318"/>
      <c r="D48" s="319"/>
    </row>
    <row r="49" spans="2:4" x14ac:dyDescent="0.3">
      <c r="B49" s="321" t="s">
        <v>83</v>
      </c>
      <c r="C49" s="318"/>
      <c r="D49" s="319"/>
    </row>
    <row r="50" spans="2:4" x14ac:dyDescent="0.3">
      <c r="B50" s="324" t="s">
        <v>173</v>
      </c>
      <c r="C50" s="318"/>
      <c r="D50" s="319"/>
    </row>
    <row r="51" spans="2:4" x14ac:dyDescent="0.3">
      <c r="B51" s="324"/>
      <c r="C51" s="318"/>
      <c r="D51" s="319"/>
    </row>
    <row r="52" spans="2:4" x14ac:dyDescent="0.3">
      <c r="B52" s="321" t="s">
        <v>1</v>
      </c>
      <c r="C52" s="318"/>
      <c r="D52" s="319"/>
    </row>
    <row r="53" spans="2:4" x14ac:dyDescent="0.3">
      <c r="B53" s="322">
        <v>46452</v>
      </c>
      <c r="C53" s="318" t="s">
        <v>152</v>
      </c>
      <c r="D53" s="319" t="s">
        <v>174</v>
      </c>
    </row>
    <row r="54" spans="2:4" x14ac:dyDescent="0.3">
      <c r="B54" s="322">
        <v>46453</v>
      </c>
      <c r="C54" s="318" t="s">
        <v>154</v>
      </c>
      <c r="D54" s="319" t="s">
        <v>4</v>
      </c>
    </row>
    <row r="55" spans="2:4" ht="16.2" thickBot="1" x14ac:dyDescent="0.35">
      <c r="B55" s="331">
        <v>46472</v>
      </c>
      <c r="C55" s="332" t="s">
        <v>156</v>
      </c>
      <c r="D55" s="333" t="s">
        <v>12</v>
      </c>
    </row>
  </sheetData>
  <mergeCells count="1">
    <mergeCell ref="B47:C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87F1-532A-4A82-982F-545E4822FCC3}">
  <dimension ref="B3:G17"/>
  <sheetViews>
    <sheetView zoomScaleNormal="100" workbookViewId="0">
      <selection activeCell="M3" sqref="M3"/>
    </sheetView>
  </sheetViews>
  <sheetFormatPr defaultRowHeight="14.4" x14ac:dyDescent="0.3"/>
  <cols>
    <col min="1" max="16384" width="8.88671875" style="298"/>
  </cols>
  <sheetData>
    <row r="3" spans="2:7" ht="15" thickBot="1" x14ac:dyDescent="0.35"/>
    <row r="4" spans="2:7" ht="15" thickBot="1" x14ac:dyDescent="0.35">
      <c r="B4" s="299" t="s">
        <v>142</v>
      </c>
      <c r="C4" s="300"/>
      <c r="D4" s="300"/>
      <c r="E4" s="300"/>
      <c r="F4" s="300"/>
      <c r="G4" s="301"/>
    </row>
    <row r="5" spans="2:7" x14ac:dyDescent="0.3">
      <c r="B5" s="302" t="s">
        <v>143</v>
      </c>
      <c r="C5" s="303" t="s">
        <v>144</v>
      </c>
      <c r="D5" s="303" t="s">
        <v>145</v>
      </c>
      <c r="E5" s="303" t="s">
        <v>146</v>
      </c>
      <c r="F5" s="303" t="s">
        <v>147</v>
      </c>
      <c r="G5" s="304" t="s">
        <v>148</v>
      </c>
    </row>
    <row r="6" spans="2:7" x14ac:dyDescent="0.3">
      <c r="B6" s="305">
        <v>1</v>
      </c>
      <c r="C6" s="306" t="s">
        <v>149</v>
      </c>
      <c r="D6" s="307"/>
      <c r="E6" s="307"/>
      <c r="F6" s="307"/>
      <c r="G6" s="308"/>
    </row>
    <row r="7" spans="2:7" x14ac:dyDescent="0.3">
      <c r="B7" s="305">
        <v>2</v>
      </c>
      <c r="C7" s="306" t="s">
        <v>23</v>
      </c>
      <c r="D7" s="307">
        <v>14</v>
      </c>
      <c r="E7" s="307">
        <v>1</v>
      </c>
      <c r="F7" s="307"/>
      <c r="G7" s="308">
        <f>D7+E7+F7</f>
        <v>15</v>
      </c>
    </row>
    <row r="8" spans="2:7" x14ac:dyDescent="0.3">
      <c r="B8" s="305">
        <v>3</v>
      </c>
      <c r="C8" s="306" t="s">
        <v>31</v>
      </c>
      <c r="D8" s="307">
        <v>19</v>
      </c>
      <c r="E8" s="307">
        <v>2</v>
      </c>
      <c r="F8" s="307">
        <v>6</v>
      </c>
      <c r="G8" s="308">
        <f t="shared" ref="G8:G16" si="0">D8+E8+F8</f>
        <v>27</v>
      </c>
    </row>
    <row r="9" spans="2:7" x14ac:dyDescent="0.3">
      <c r="B9" s="305">
        <v>4</v>
      </c>
      <c r="C9" s="306" t="s">
        <v>38</v>
      </c>
      <c r="D9" s="307">
        <v>20</v>
      </c>
      <c r="E9" s="307">
        <v>3</v>
      </c>
      <c r="F9" s="307"/>
      <c r="G9" s="308">
        <f t="shared" si="0"/>
        <v>23</v>
      </c>
    </row>
    <row r="10" spans="2:7" x14ac:dyDescent="0.3">
      <c r="B10" s="305">
        <v>5</v>
      </c>
      <c r="C10" s="306" t="s">
        <v>44</v>
      </c>
      <c r="D10" s="307">
        <v>17</v>
      </c>
      <c r="E10" s="307">
        <v>3</v>
      </c>
      <c r="F10" s="307"/>
      <c r="G10" s="308">
        <f t="shared" si="0"/>
        <v>20</v>
      </c>
    </row>
    <row r="11" spans="2:7" x14ac:dyDescent="0.3">
      <c r="B11" s="305">
        <v>6</v>
      </c>
      <c r="C11" s="306" t="s">
        <v>50</v>
      </c>
      <c r="D11" s="307">
        <v>7</v>
      </c>
      <c r="E11" s="307">
        <v>3</v>
      </c>
      <c r="F11" s="307">
        <v>6</v>
      </c>
      <c r="G11" s="308">
        <f t="shared" si="0"/>
        <v>16</v>
      </c>
    </row>
    <row r="12" spans="2:7" x14ac:dyDescent="0.3">
      <c r="B12" s="305">
        <v>7</v>
      </c>
      <c r="C12" s="306" t="s">
        <v>63</v>
      </c>
      <c r="D12" s="307">
        <v>18</v>
      </c>
      <c r="E12" s="307">
        <v>3</v>
      </c>
      <c r="F12" s="307"/>
      <c r="G12" s="308">
        <f t="shared" si="0"/>
        <v>21</v>
      </c>
    </row>
    <row r="13" spans="2:7" x14ac:dyDescent="0.3">
      <c r="B13" s="305">
        <v>8</v>
      </c>
      <c r="C13" s="306" t="s">
        <v>68</v>
      </c>
      <c r="D13" s="307">
        <v>17</v>
      </c>
      <c r="E13" s="307">
        <v>2</v>
      </c>
      <c r="F13" s="307">
        <v>6</v>
      </c>
      <c r="G13" s="308">
        <f t="shared" si="0"/>
        <v>25</v>
      </c>
    </row>
    <row r="14" spans="2:7" x14ac:dyDescent="0.3">
      <c r="B14" s="305">
        <v>9</v>
      </c>
      <c r="C14" s="306" t="s">
        <v>74</v>
      </c>
      <c r="D14" s="307">
        <v>15</v>
      </c>
      <c r="E14" s="307">
        <v>4</v>
      </c>
      <c r="F14" s="307"/>
      <c r="G14" s="308">
        <f t="shared" si="0"/>
        <v>19</v>
      </c>
    </row>
    <row r="15" spans="2:7" x14ac:dyDescent="0.3">
      <c r="B15" s="305">
        <v>10</v>
      </c>
      <c r="C15" s="306" t="s">
        <v>83</v>
      </c>
      <c r="D15" s="307">
        <v>22</v>
      </c>
      <c r="E15" s="307">
        <v>1</v>
      </c>
      <c r="F15" s="307"/>
      <c r="G15" s="308">
        <f t="shared" si="0"/>
        <v>23</v>
      </c>
    </row>
    <row r="16" spans="2:7" x14ac:dyDescent="0.3">
      <c r="B16" s="305">
        <v>11</v>
      </c>
      <c r="C16" s="306" t="s">
        <v>1</v>
      </c>
      <c r="D16" s="307">
        <v>14</v>
      </c>
      <c r="E16" s="307"/>
      <c r="F16" s="307">
        <v>6</v>
      </c>
      <c r="G16" s="308">
        <f t="shared" si="0"/>
        <v>20</v>
      </c>
    </row>
    <row r="17" spans="2:7" ht="15" thickBot="1" x14ac:dyDescent="0.35">
      <c r="B17" s="309"/>
      <c r="C17" s="310" t="s">
        <v>148</v>
      </c>
      <c r="D17" s="311"/>
      <c r="E17" s="311"/>
      <c r="F17" s="311"/>
      <c r="G17" s="312">
        <v>209</v>
      </c>
    </row>
  </sheetData>
  <mergeCells count="1">
    <mergeCell ref="B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847C-66FB-40AA-9D05-D762DD1738A7}">
  <dimension ref="A1:K13"/>
  <sheetViews>
    <sheetView workbookViewId="0">
      <selection activeCell="B19" sqref="B19"/>
    </sheetView>
  </sheetViews>
  <sheetFormatPr defaultColWidth="9" defaultRowHeight="14.4" x14ac:dyDescent="0.3"/>
  <cols>
    <col min="1" max="1" width="8.33203125" style="282" bestFit="1" customWidth="1"/>
    <col min="2" max="2" width="23.21875" style="282" bestFit="1" customWidth="1"/>
    <col min="3" max="3" width="19.44140625" style="282" bestFit="1" customWidth="1"/>
    <col min="4" max="4" width="21.77734375" style="282" bestFit="1" customWidth="1"/>
    <col min="5" max="5" width="22.88671875" style="282" bestFit="1" customWidth="1"/>
    <col min="6" max="6" width="18.33203125" style="282" bestFit="1" customWidth="1"/>
    <col min="7" max="7" width="21.21875" style="282" bestFit="1" customWidth="1"/>
    <col min="8" max="8" width="18.6640625" style="282" bestFit="1" customWidth="1"/>
    <col min="9" max="9" width="23.109375" style="282" bestFit="1" customWidth="1"/>
    <col min="10" max="10" width="20.88671875" style="282" bestFit="1" customWidth="1"/>
    <col min="11" max="11" width="19.77734375" style="282" bestFit="1" customWidth="1"/>
    <col min="12" max="256" width="9" style="282"/>
    <col min="257" max="257" width="8.33203125" style="282" bestFit="1" customWidth="1"/>
    <col min="258" max="258" width="23.21875" style="282" bestFit="1" customWidth="1"/>
    <col min="259" max="259" width="19.44140625" style="282" bestFit="1" customWidth="1"/>
    <col min="260" max="260" width="21.77734375" style="282" bestFit="1" customWidth="1"/>
    <col min="261" max="261" width="22.88671875" style="282" bestFit="1" customWidth="1"/>
    <col min="262" max="262" width="18.33203125" style="282" bestFit="1" customWidth="1"/>
    <col min="263" max="263" width="21.21875" style="282" bestFit="1" customWidth="1"/>
    <col min="264" max="264" width="18.6640625" style="282" bestFit="1" customWidth="1"/>
    <col min="265" max="265" width="23.109375" style="282" bestFit="1" customWidth="1"/>
    <col min="266" max="266" width="20.88671875" style="282" bestFit="1" customWidth="1"/>
    <col min="267" max="267" width="19.77734375" style="282" bestFit="1" customWidth="1"/>
    <col min="268" max="512" width="9" style="282"/>
    <col min="513" max="513" width="8.33203125" style="282" bestFit="1" customWidth="1"/>
    <col min="514" max="514" width="23.21875" style="282" bestFit="1" customWidth="1"/>
    <col min="515" max="515" width="19.44140625" style="282" bestFit="1" customWidth="1"/>
    <col min="516" max="516" width="21.77734375" style="282" bestFit="1" customWidth="1"/>
    <col min="517" max="517" width="22.88671875" style="282" bestFit="1" customWidth="1"/>
    <col min="518" max="518" width="18.33203125" style="282" bestFit="1" customWidth="1"/>
    <col min="519" max="519" width="21.21875" style="282" bestFit="1" customWidth="1"/>
    <col min="520" max="520" width="18.6640625" style="282" bestFit="1" customWidth="1"/>
    <col min="521" max="521" width="23.109375" style="282" bestFit="1" customWidth="1"/>
    <col min="522" max="522" width="20.88671875" style="282" bestFit="1" customWidth="1"/>
    <col min="523" max="523" width="19.77734375" style="282" bestFit="1" customWidth="1"/>
    <col min="524" max="768" width="9" style="282"/>
    <col min="769" max="769" width="8.33203125" style="282" bestFit="1" customWidth="1"/>
    <col min="770" max="770" width="23.21875" style="282" bestFit="1" customWidth="1"/>
    <col min="771" max="771" width="19.44140625" style="282" bestFit="1" customWidth="1"/>
    <col min="772" max="772" width="21.77734375" style="282" bestFit="1" customWidth="1"/>
    <col min="773" max="773" width="22.88671875" style="282" bestFit="1" customWidth="1"/>
    <col min="774" max="774" width="18.33203125" style="282" bestFit="1" customWidth="1"/>
    <col min="775" max="775" width="21.21875" style="282" bestFit="1" customWidth="1"/>
    <col min="776" max="776" width="18.6640625" style="282" bestFit="1" customWidth="1"/>
    <col min="777" max="777" width="23.109375" style="282" bestFit="1" customWidth="1"/>
    <col min="778" max="778" width="20.88671875" style="282" bestFit="1" customWidth="1"/>
    <col min="779" max="779" width="19.77734375" style="282" bestFit="1" customWidth="1"/>
    <col min="780" max="1024" width="9" style="282"/>
    <col min="1025" max="1025" width="8.33203125" style="282" bestFit="1" customWidth="1"/>
    <col min="1026" max="1026" width="23.21875" style="282" bestFit="1" customWidth="1"/>
    <col min="1027" max="1027" width="19.44140625" style="282" bestFit="1" customWidth="1"/>
    <col min="1028" max="1028" width="21.77734375" style="282" bestFit="1" customWidth="1"/>
    <col min="1029" max="1029" width="22.88671875" style="282" bestFit="1" customWidth="1"/>
    <col min="1030" max="1030" width="18.33203125" style="282" bestFit="1" customWidth="1"/>
    <col min="1031" max="1031" width="21.21875" style="282" bestFit="1" customWidth="1"/>
    <col min="1032" max="1032" width="18.6640625" style="282" bestFit="1" customWidth="1"/>
    <col min="1033" max="1033" width="23.109375" style="282" bestFit="1" customWidth="1"/>
    <col min="1034" max="1034" width="20.88671875" style="282" bestFit="1" customWidth="1"/>
    <col min="1035" max="1035" width="19.77734375" style="282" bestFit="1" customWidth="1"/>
    <col min="1036" max="1280" width="9" style="282"/>
    <col min="1281" max="1281" width="8.33203125" style="282" bestFit="1" customWidth="1"/>
    <col min="1282" max="1282" width="23.21875" style="282" bestFit="1" customWidth="1"/>
    <col min="1283" max="1283" width="19.44140625" style="282" bestFit="1" customWidth="1"/>
    <col min="1284" max="1284" width="21.77734375" style="282" bestFit="1" customWidth="1"/>
    <col min="1285" max="1285" width="22.88671875" style="282" bestFit="1" customWidth="1"/>
    <col min="1286" max="1286" width="18.33203125" style="282" bestFit="1" customWidth="1"/>
    <col min="1287" max="1287" width="21.21875" style="282" bestFit="1" customWidth="1"/>
    <col min="1288" max="1288" width="18.6640625" style="282" bestFit="1" customWidth="1"/>
    <col min="1289" max="1289" width="23.109375" style="282" bestFit="1" customWidth="1"/>
    <col min="1290" max="1290" width="20.88671875" style="282" bestFit="1" customWidth="1"/>
    <col min="1291" max="1291" width="19.77734375" style="282" bestFit="1" customWidth="1"/>
    <col min="1292" max="1536" width="9" style="282"/>
    <col min="1537" max="1537" width="8.33203125" style="282" bestFit="1" customWidth="1"/>
    <col min="1538" max="1538" width="23.21875" style="282" bestFit="1" customWidth="1"/>
    <col min="1539" max="1539" width="19.44140625" style="282" bestFit="1" customWidth="1"/>
    <col min="1540" max="1540" width="21.77734375" style="282" bestFit="1" customWidth="1"/>
    <col min="1541" max="1541" width="22.88671875" style="282" bestFit="1" customWidth="1"/>
    <col min="1542" max="1542" width="18.33203125" style="282" bestFit="1" customWidth="1"/>
    <col min="1543" max="1543" width="21.21875" style="282" bestFit="1" customWidth="1"/>
    <col min="1544" max="1544" width="18.6640625" style="282" bestFit="1" customWidth="1"/>
    <col min="1545" max="1545" width="23.109375" style="282" bestFit="1" customWidth="1"/>
    <col min="1546" max="1546" width="20.88671875" style="282" bestFit="1" customWidth="1"/>
    <col min="1547" max="1547" width="19.77734375" style="282" bestFit="1" customWidth="1"/>
    <col min="1548" max="1792" width="9" style="282"/>
    <col min="1793" max="1793" width="8.33203125" style="282" bestFit="1" customWidth="1"/>
    <col min="1794" max="1794" width="23.21875" style="282" bestFit="1" customWidth="1"/>
    <col min="1795" max="1795" width="19.44140625" style="282" bestFit="1" customWidth="1"/>
    <col min="1796" max="1796" width="21.77734375" style="282" bestFit="1" customWidth="1"/>
    <col min="1797" max="1797" width="22.88671875" style="282" bestFit="1" customWidth="1"/>
    <col min="1798" max="1798" width="18.33203125" style="282" bestFit="1" customWidth="1"/>
    <col min="1799" max="1799" width="21.21875" style="282" bestFit="1" customWidth="1"/>
    <col min="1800" max="1800" width="18.6640625" style="282" bestFit="1" customWidth="1"/>
    <col min="1801" max="1801" width="23.109375" style="282" bestFit="1" customWidth="1"/>
    <col min="1802" max="1802" width="20.88671875" style="282" bestFit="1" customWidth="1"/>
    <col min="1803" max="1803" width="19.77734375" style="282" bestFit="1" customWidth="1"/>
    <col min="1804" max="2048" width="9" style="282"/>
    <col min="2049" max="2049" width="8.33203125" style="282" bestFit="1" customWidth="1"/>
    <col min="2050" max="2050" width="23.21875" style="282" bestFit="1" customWidth="1"/>
    <col min="2051" max="2051" width="19.44140625" style="282" bestFit="1" customWidth="1"/>
    <col min="2052" max="2052" width="21.77734375" style="282" bestFit="1" customWidth="1"/>
    <col min="2053" max="2053" width="22.88671875" style="282" bestFit="1" customWidth="1"/>
    <col min="2054" max="2054" width="18.33203125" style="282" bestFit="1" customWidth="1"/>
    <col min="2055" max="2055" width="21.21875" style="282" bestFit="1" customWidth="1"/>
    <col min="2056" max="2056" width="18.6640625" style="282" bestFit="1" customWidth="1"/>
    <col min="2057" max="2057" width="23.109375" style="282" bestFit="1" customWidth="1"/>
    <col min="2058" max="2058" width="20.88671875" style="282" bestFit="1" customWidth="1"/>
    <col min="2059" max="2059" width="19.77734375" style="282" bestFit="1" customWidth="1"/>
    <col min="2060" max="2304" width="9" style="282"/>
    <col min="2305" max="2305" width="8.33203125" style="282" bestFit="1" customWidth="1"/>
    <col min="2306" max="2306" width="23.21875" style="282" bestFit="1" customWidth="1"/>
    <col min="2307" max="2307" width="19.44140625" style="282" bestFit="1" customWidth="1"/>
    <col min="2308" max="2308" width="21.77734375" style="282" bestFit="1" customWidth="1"/>
    <col min="2309" max="2309" width="22.88671875" style="282" bestFit="1" customWidth="1"/>
    <col min="2310" max="2310" width="18.33203125" style="282" bestFit="1" customWidth="1"/>
    <col min="2311" max="2311" width="21.21875" style="282" bestFit="1" customWidth="1"/>
    <col min="2312" max="2312" width="18.6640625" style="282" bestFit="1" customWidth="1"/>
    <col min="2313" max="2313" width="23.109375" style="282" bestFit="1" customWidth="1"/>
    <col min="2314" max="2314" width="20.88671875" style="282" bestFit="1" customWidth="1"/>
    <col min="2315" max="2315" width="19.77734375" style="282" bestFit="1" customWidth="1"/>
    <col min="2316" max="2560" width="9" style="282"/>
    <col min="2561" max="2561" width="8.33203125" style="282" bestFit="1" customWidth="1"/>
    <col min="2562" max="2562" width="23.21875" style="282" bestFit="1" customWidth="1"/>
    <col min="2563" max="2563" width="19.44140625" style="282" bestFit="1" customWidth="1"/>
    <col min="2564" max="2564" width="21.77734375" style="282" bestFit="1" customWidth="1"/>
    <col min="2565" max="2565" width="22.88671875" style="282" bestFit="1" customWidth="1"/>
    <col min="2566" max="2566" width="18.33203125" style="282" bestFit="1" customWidth="1"/>
    <col min="2567" max="2567" width="21.21875" style="282" bestFit="1" customWidth="1"/>
    <col min="2568" max="2568" width="18.6640625" style="282" bestFit="1" customWidth="1"/>
    <col min="2569" max="2569" width="23.109375" style="282" bestFit="1" customWidth="1"/>
    <col min="2570" max="2570" width="20.88671875" style="282" bestFit="1" customWidth="1"/>
    <col min="2571" max="2571" width="19.77734375" style="282" bestFit="1" customWidth="1"/>
    <col min="2572" max="2816" width="9" style="282"/>
    <col min="2817" max="2817" width="8.33203125" style="282" bestFit="1" customWidth="1"/>
    <col min="2818" max="2818" width="23.21875" style="282" bestFit="1" customWidth="1"/>
    <col min="2819" max="2819" width="19.44140625" style="282" bestFit="1" customWidth="1"/>
    <col min="2820" max="2820" width="21.77734375" style="282" bestFit="1" customWidth="1"/>
    <col min="2821" max="2821" width="22.88671875" style="282" bestFit="1" customWidth="1"/>
    <col min="2822" max="2822" width="18.33203125" style="282" bestFit="1" customWidth="1"/>
    <col min="2823" max="2823" width="21.21875" style="282" bestFit="1" customWidth="1"/>
    <col min="2824" max="2824" width="18.6640625" style="282" bestFit="1" customWidth="1"/>
    <col min="2825" max="2825" width="23.109375" style="282" bestFit="1" customWidth="1"/>
    <col min="2826" max="2826" width="20.88671875" style="282" bestFit="1" customWidth="1"/>
    <col min="2827" max="2827" width="19.77734375" style="282" bestFit="1" customWidth="1"/>
    <col min="2828" max="3072" width="9" style="282"/>
    <col min="3073" max="3073" width="8.33203125" style="282" bestFit="1" customWidth="1"/>
    <col min="3074" max="3074" width="23.21875" style="282" bestFit="1" customWidth="1"/>
    <col min="3075" max="3075" width="19.44140625" style="282" bestFit="1" customWidth="1"/>
    <col min="3076" max="3076" width="21.77734375" style="282" bestFit="1" customWidth="1"/>
    <col min="3077" max="3077" width="22.88671875" style="282" bestFit="1" customWidth="1"/>
    <col min="3078" max="3078" width="18.33203125" style="282" bestFit="1" customWidth="1"/>
    <col min="3079" max="3079" width="21.21875" style="282" bestFit="1" customWidth="1"/>
    <col min="3080" max="3080" width="18.6640625" style="282" bestFit="1" customWidth="1"/>
    <col min="3081" max="3081" width="23.109375" style="282" bestFit="1" customWidth="1"/>
    <col min="3082" max="3082" width="20.88671875" style="282" bestFit="1" customWidth="1"/>
    <col min="3083" max="3083" width="19.77734375" style="282" bestFit="1" customWidth="1"/>
    <col min="3084" max="3328" width="9" style="282"/>
    <col min="3329" max="3329" width="8.33203125" style="282" bestFit="1" customWidth="1"/>
    <col min="3330" max="3330" width="23.21875" style="282" bestFit="1" customWidth="1"/>
    <col min="3331" max="3331" width="19.44140625" style="282" bestFit="1" customWidth="1"/>
    <col min="3332" max="3332" width="21.77734375" style="282" bestFit="1" customWidth="1"/>
    <col min="3333" max="3333" width="22.88671875" style="282" bestFit="1" customWidth="1"/>
    <col min="3334" max="3334" width="18.33203125" style="282" bestFit="1" customWidth="1"/>
    <col min="3335" max="3335" width="21.21875" style="282" bestFit="1" customWidth="1"/>
    <col min="3336" max="3336" width="18.6640625" style="282" bestFit="1" customWidth="1"/>
    <col min="3337" max="3337" width="23.109375" style="282" bestFit="1" customWidth="1"/>
    <col min="3338" max="3338" width="20.88671875" style="282" bestFit="1" customWidth="1"/>
    <col min="3339" max="3339" width="19.77734375" style="282" bestFit="1" customWidth="1"/>
    <col min="3340" max="3584" width="9" style="282"/>
    <col min="3585" max="3585" width="8.33203125" style="282" bestFit="1" customWidth="1"/>
    <col min="3586" max="3586" width="23.21875" style="282" bestFit="1" customWidth="1"/>
    <col min="3587" max="3587" width="19.44140625" style="282" bestFit="1" customWidth="1"/>
    <col min="3588" max="3588" width="21.77734375" style="282" bestFit="1" customWidth="1"/>
    <col min="3589" max="3589" width="22.88671875" style="282" bestFit="1" customWidth="1"/>
    <col min="3590" max="3590" width="18.33203125" style="282" bestFit="1" customWidth="1"/>
    <col min="3591" max="3591" width="21.21875" style="282" bestFit="1" customWidth="1"/>
    <col min="3592" max="3592" width="18.6640625" style="282" bestFit="1" customWidth="1"/>
    <col min="3593" max="3593" width="23.109375" style="282" bestFit="1" customWidth="1"/>
    <col min="3594" max="3594" width="20.88671875" style="282" bestFit="1" customWidth="1"/>
    <col min="3595" max="3595" width="19.77734375" style="282" bestFit="1" customWidth="1"/>
    <col min="3596" max="3840" width="9" style="282"/>
    <col min="3841" max="3841" width="8.33203125" style="282" bestFit="1" customWidth="1"/>
    <col min="3842" max="3842" width="23.21875" style="282" bestFit="1" customWidth="1"/>
    <col min="3843" max="3843" width="19.44140625" style="282" bestFit="1" customWidth="1"/>
    <col min="3844" max="3844" width="21.77734375" style="282" bestFit="1" customWidth="1"/>
    <col min="3845" max="3845" width="22.88671875" style="282" bestFit="1" customWidth="1"/>
    <col min="3846" max="3846" width="18.33203125" style="282" bestFit="1" customWidth="1"/>
    <col min="3847" max="3847" width="21.21875" style="282" bestFit="1" customWidth="1"/>
    <col min="3848" max="3848" width="18.6640625" style="282" bestFit="1" customWidth="1"/>
    <col min="3849" max="3849" width="23.109375" style="282" bestFit="1" customWidth="1"/>
    <col min="3850" max="3850" width="20.88671875" style="282" bestFit="1" customWidth="1"/>
    <col min="3851" max="3851" width="19.77734375" style="282" bestFit="1" customWidth="1"/>
    <col min="3852" max="4096" width="9" style="282"/>
    <col min="4097" max="4097" width="8.33203125" style="282" bestFit="1" customWidth="1"/>
    <col min="4098" max="4098" width="23.21875" style="282" bestFit="1" customWidth="1"/>
    <col min="4099" max="4099" width="19.44140625" style="282" bestFit="1" customWidth="1"/>
    <col min="4100" max="4100" width="21.77734375" style="282" bestFit="1" customWidth="1"/>
    <col min="4101" max="4101" width="22.88671875" style="282" bestFit="1" customWidth="1"/>
    <col min="4102" max="4102" width="18.33203125" style="282" bestFit="1" customWidth="1"/>
    <col min="4103" max="4103" width="21.21875" style="282" bestFit="1" customWidth="1"/>
    <col min="4104" max="4104" width="18.6640625" style="282" bestFit="1" customWidth="1"/>
    <col min="4105" max="4105" width="23.109375" style="282" bestFit="1" customWidth="1"/>
    <col min="4106" max="4106" width="20.88671875" style="282" bestFit="1" customWidth="1"/>
    <col min="4107" max="4107" width="19.77734375" style="282" bestFit="1" customWidth="1"/>
    <col min="4108" max="4352" width="9" style="282"/>
    <col min="4353" max="4353" width="8.33203125" style="282" bestFit="1" customWidth="1"/>
    <col min="4354" max="4354" width="23.21875" style="282" bestFit="1" customWidth="1"/>
    <col min="4355" max="4355" width="19.44140625" style="282" bestFit="1" customWidth="1"/>
    <col min="4356" max="4356" width="21.77734375" style="282" bestFit="1" customWidth="1"/>
    <col min="4357" max="4357" width="22.88671875" style="282" bestFit="1" customWidth="1"/>
    <col min="4358" max="4358" width="18.33203125" style="282" bestFit="1" customWidth="1"/>
    <col min="4359" max="4359" width="21.21875" style="282" bestFit="1" customWidth="1"/>
    <col min="4360" max="4360" width="18.6640625" style="282" bestFit="1" customWidth="1"/>
    <col min="4361" max="4361" width="23.109375" style="282" bestFit="1" customWidth="1"/>
    <col min="4362" max="4362" width="20.88671875" style="282" bestFit="1" customWidth="1"/>
    <col min="4363" max="4363" width="19.77734375" style="282" bestFit="1" customWidth="1"/>
    <col min="4364" max="4608" width="9" style="282"/>
    <col min="4609" max="4609" width="8.33203125" style="282" bestFit="1" customWidth="1"/>
    <col min="4610" max="4610" width="23.21875" style="282" bestFit="1" customWidth="1"/>
    <col min="4611" max="4611" width="19.44140625" style="282" bestFit="1" customWidth="1"/>
    <col min="4612" max="4612" width="21.77734375" style="282" bestFit="1" customWidth="1"/>
    <col min="4613" max="4613" width="22.88671875" style="282" bestFit="1" customWidth="1"/>
    <col min="4614" max="4614" width="18.33203125" style="282" bestFit="1" customWidth="1"/>
    <col min="4615" max="4615" width="21.21875" style="282" bestFit="1" customWidth="1"/>
    <col min="4616" max="4616" width="18.6640625" style="282" bestFit="1" customWidth="1"/>
    <col min="4617" max="4617" width="23.109375" style="282" bestFit="1" customWidth="1"/>
    <col min="4618" max="4618" width="20.88671875" style="282" bestFit="1" customWidth="1"/>
    <col min="4619" max="4619" width="19.77734375" style="282" bestFit="1" customWidth="1"/>
    <col min="4620" max="4864" width="9" style="282"/>
    <col min="4865" max="4865" width="8.33203125" style="282" bestFit="1" customWidth="1"/>
    <col min="4866" max="4866" width="23.21875" style="282" bestFit="1" customWidth="1"/>
    <col min="4867" max="4867" width="19.44140625" style="282" bestFit="1" customWidth="1"/>
    <col min="4868" max="4868" width="21.77734375" style="282" bestFit="1" customWidth="1"/>
    <col min="4869" max="4869" width="22.88671875" style="282" bestFit="1" customWidth="1"/>
    <col min="4870" max="4870" width="18.33203125" style="282" bestFit="1" customWidth="1"/>
    <col min="4871" max="4871" width="21.21875" style="282" bestFit="1" customWidth="1"/>
    <col min="4872" max="4872" width="18.6640625" style="282" bestFit="1" customWidth="1"/>
    <col min="4873" max="4873" width="23.109375" style="282" bestFit="1" customWidth="1"/>
    <col min="4874" max="4874" width="20.88671875" style="282" bestFit="1" customWidth="1"/>
    <col min="4875" max="4875" width="19.77734375" style="282" bestFit="1" customWidth="1"/>
    <col min="4876" max="5120" width="9" style="282"/>
    <col min="5121" max="5121" width="8.33203125" style="282" bestFit="1" customWidth="1"/>
    <col min="5122" max="5122" width="23.21875" style="282" bestFit="1" customWidth="1"/>
    <col min="5123" max="5123" width="19.44140625" style="282" bestFit="1" customWidth="1"/>
    <col min="5124" max="5124" width="21.77734375" style="282" bestFit="1" customWidth="1"/>
    <col min="5125" max="5125" width="22.88671875" style="282" bestFit="1" customWidth="1"/>
    <col min="5126" max="5126" width="18.33203125" style="282" bestFit="1" customWidth="1"/>
    <col min="5127" max="5127" width="21.21875" style="282" bestFit="1" customWidth="1"/>
    <col min="5128" max="5128" width="18.6640625" style="282" bestFit="1" customWidth="1"/>
    <col min="5129" max="5129" width="23.109375" style="282" bestFit="1" customWidth="1"/>
    <col min="5130" max="5130" width="20.88671875" style="282" bestFit="1" customWidth="1"/>
    <col min="5131" max="5131" width="19.77734375" style="282" bestFit="1" customWidth="1"/>
    <col min="5132" max="5376" width="9" style="282"/>
    <col min="5377" max="5377" width="8.33203125" style="282" bestFit="1" customWidth="1"/>
    <col min="5378" max="5378" width="23.21875" style="282" bestFit="1" customWidth="1"/>
    <col min="5379" max="5379" width="19.44140625" style="282" bestFit="1" customWidth="1"/>
    <col min="5380" max="5380" width="21.77734375" style="282" bestFit="1" customWidth="1"/>
    <col min="5381" max="5381" width="22.88671875" style="282" bestFit="1" customWidth="1"/>
    <col min="5382" max="5382" width="18.33203125" style="282" bestFit="1" customWidth="1"/>
    <col min="5383" max="5383" width="21.21875" style="282" bestFit="1" customWidth="1"/>
    <col min="5384" max="5384" width="18.6640625" style="282" bestFit="1" customWidth="1"/>
    <col min="5385" max="5385" width="23.109375" style="282" bestFit="1" customWidth="1"/>
    <col min="5386" max="5386" width="20.88671875" style="282" bestFit="1" customWidth="1"/>
    <col min="5387" max="5387" width="19.77734375" style="282" bestFit="1" customWidth="1"/>
    <col min="5388" max="5632" width="9" style="282"/>
    <col min="5633" max="5633" width="8.33203125" style="282" bestFit="1" customWidth="1"/>
    <col min="5634" max="5634" width="23.21875" style="282" bestFit="1" customWidth="1"/>
    <col min="5635" max="5635" width="19.44140625" style="282" bestFit="1" customWidth="1"/>
    <col min="5636" max="5636" width="21.77734375" style="282" bestFit="1" customWidth="1"/>
    <col min="5637" max="5637" width="22.88671875" style="282" bestFit="1" customWidth="1"/>
    <col min="5638" max="5638" width="18.33203125" style="282" bestFit="1" customWidth="1"/>
    <col min="5639" max="5639" width="21.21875" style="282" bestFit="1" customWidth="1"/>
    <col min="5640" max="5640" width="18.6640625" style="282" bestFit="1" customWidth="1"/>
    <col min="5641" max="5641" width="23.109375" style="282" bestFit="1" customWidth="1"/>
    <col min="5642" max="5642" width="20.88671875" style="282" bestFit="1" customWidth="1"/>
    <col min="5643" max="5643" width="19.77734375" style="282" bestFit="1" customWidth="1"/>
    <col min="5644" max="5888" width="9" style="282"/>
    <col min="5889" max="5889" width="8.33203125" style="282" bestFit="1" customWidth="1"/>
    <col min="5890" max="5890" width="23.21875" style="282" bestFit="1" customWidth="1"/>
    <col min="5891" max="5891" width="19.44140625" style="282" bestFit="1" customWidth="1"/>
    <col min="5892" max="5892" width="21.77734375" style="282" bestFit="1" customWidth="1"/>
    <col min="5893" max="5893" width="22.88671875" style="282" bestFit="1" customWidth="1"/>
    <col min="5894" max="5894" width="18.33203125" style="282" bestFit="1" customWidth="1"/>
    <col min="5895" max="5895" width="21.21875" style="282" bestFit="1" customWidth="1"/>
    <col min="5896" max="5896" width="18.6640625" style="282" bestFit="1" customWidth="1"/>
    <col min="5897" max="5897" width="23.109375" style="282" bestFit="1" customWidth="1"/>
    <col min="5898" max="5898" width="20.88671875" style="282" bestFit="1" customWidth="1"/>
    <col min="5899" max="5899" width="19.77734375" style="282" bestFit="1" customWidth="1"/>
    <col min="5900" max="6144" width="9" style="282"/>
    <col min="6145" max="6145" width="8.33203125" style="282" bestFit="1" customWidth="1"/>
    <col min="6146" max="6146" width="23.21875" style="282" bestFit="1" customWidth="1"/>
    <col min="6147" max="6147" width="19.44140625" style="282" bestFit="1" customWidth="1"/>
    <col min="6148" max="6148" width="21.77734375" style="282" bestFit="1" customWidth="1"/>
    <col min="6149" max="6149" width="22.88671875" style="282" bestFit="1" customWidth="1"/>
    <col min="6150" max="6150" width="18.33203125" style="282" bestFit="1" customWidth="1"/>
    <col min="6151" max="6151" width="21.21875" style="282" bestFit="1" customWidth="1"/>
    <col min="6152" max="6152" width="18.6640625" style="282" bestFit="1" customWidth="1"/>
    <col min="6153" max="6153" width="23.109375" style="282" bestFit="1" customWidth="1"/>
    <col min="6154" max="6154" width="20.88671875" style="282" bestFit="1" customWidth="1"/>
    <col min="6155" max="6155" width="19.77734375" style="282" bestFit="1" customWidth="1"/>
    <col min="6156" max="6400" width="9" style="282"/>
    <col min="6401" max="6401" width="8.33203125" style="282" bestFit="1" customWidth="1"/>
    <col min="6402" max="6402" width="23.21875" style="282" bestFit="1" customWidth="1"/>
    <col min="6403" max="6403" width="19.44140625" style="282" bestFit="1" customWidth="1"/>
    <col min="6404" max="6404" width="21.77734375" style="282" bestFit="1" customWidth="1"/>
    <col min="6405" max="6405" width="22.88671875" style="282" bestFit="1" customWidth="1"/>
    <col min="6406" max="6406" width="18.33203125" style="282" bestFit="1" customWidth="1"/>
    <col min="6407" max="6407" width="21.21875" style="282" bestFit="1" customWidth="1"/>
    <col min="6408" max="6408" width="18.6640625" style="282" bestFit="1" customWidth="1"/>
    <col min="6409" max="6409" width="23.109375" style="282" bestFit="1" customWidth="1"/>
    <col min="6410" max="6410" width="20.88671875" style="282" bestFit="1" customWidth="1"/>
    <col min="6411" max="6411" width="19.77734375" style="282" bestFit="1" customWidth="1"/>
    <col min="6412" max="6656" width="9" style="282"/>
    <col min="6657" max="6657" width="8.33203125" style="282" bestFit="1" customWidth="1"/>
    <col min="6658" max="6658" width="23.21875" style="282" bestFit="1" customWidth="1"/>
    <col min="6659" max="6659" width="19.44140625" style="282" bestFit="1" customWidth="1"/>
    <col min="6660" max="6660" width="21.77734375" style="282" bestFit="1" customWidth="1"/>
    <col min="6661" max="6661" width="22.88671875" style="282" bestFit="1" customWidth="1"/>
    <col min="6662" max="6662" width="18.33203125" style="282" bestFit="1" customWidth="1"/>
    <col min="6663" max="6663" width="21.21875" style="282" bestFit="1" customWidth="1"/>
    <col min="6664" max="6664" width="18.6640625" style="282" bestFit="1" customWidth="1"/>
    <col min="6665" max="6665" width="23.109375" style="282" bestFit="1" customWidth="1"/>
    <col min="6666" max="6666" width="20.88671875" style="282" bestFit="1" customWidth="1"/>
    <col min="6667" max="6667" width="19.77734375" style="282" bestFit="1" customWidth="1"/>
    <col min="6668" max="6912" width="9" style="282"/>
    <col min="6913" max="6913" width="8.33203125" style="282" bestFit="1" customWidth="1"/>
    <col min="6914" max="6914" width="23.21875" style="282" bestFit="1" customWidth="1"/>
    <col min="6915" max="6915" width="19.44140625" style="282" bestFit="1" customWidth="1"/>
    <col min="6916" max="6916" width="21.77734375" style="282" bestFit="1" customWidth="1"/>
    <col min="6917" max="6917" width="22.88671875" style="282" bestFit="1" customWidth="1"/>
    <col min="6918" max="6918" width="18.33203125" style="282" bestFit="1" customWidth="1"/>
    <col min="6919" max="6919" width="21.21875" style="282" bestFit="1" customWidth="1"/>
    <col min="6920" max="6920" width="18.6640625" style="282" bestFit="1" customWidth="1"/>
    <col min="6921" max="6921" width="23.109375" style="282" bestFit="1" customWidth="1"/>
    <col min="6922" max="6922" width="20.88671875" style="282" bestFit="1" customWidth="1"/>
    <col min="6923" max="6923" width="19.77734375" style="282" bestFit="1" customWidth="1"/>
    <col min="6924" max="7168" width="9" style="282"/>
    <col min="7169" max="7169" width="8.33203125" style="282" bestFit="1" customWidth="1"/>
    <col min="7170" max="7170" width="23.21875" style="282" bestFit="1" customWidth="1"/>
    <col min="7171" max="7171" width="19.44140625" style="282" bestFit="1" customWidth="1"/>
    <col min="7172" max="7172" width="21.77734375" style="282" bestFit="1" customWidth="1"/>
    <col min="7173" max="7173" width="22.88671875" style="282" bestFit="1" customWidth="1"/>
    <col min="7174" max="7174" width="18.33203125" style="282" bestFit="1" customWidth="1"/>
    <col min="7175" max="7175" width="21.21875" style="282" bestFit="1" customWidth="1"/>
    <col min="7176" max="7176" width="18.6640625" style="282" bestFit="1" customWidth="1"/>
    <col min="7177" max="7177" width="23.109375" style="282" bestFit="1" customWidth="1"/>
    <col min="7178" max="7178" width="20.88671875" style="282" bestFit="1" customWidth="1"/>
    <col min="7179" max="7179" width="19.77734375" style="282" bestFit="1" customWidth="1"/>
    <col min="7180" max="7424" width="9" style="282"/>
    <col min="7425" max="7425" width="8.33203125" style="282" bestFit="1" customWidth="1"/>
    <col min="7426" max="7426" width="23.21875" style="282" bestFit="1" customWidth="1"/>
    <col min="7427" max="7427" width="19.44140625" style="282" bestFit="1" customWidth="1"/>
    <col min="7428" max="7428" width="21.77734375" style="282" bestFit="1" customWidth="1"/>
    <col min="7429" max="7429" width="22.88671875" style="282" bestFit="1" customWidth="1"/>
    <col min="7430" max="7430" width="18.33203125" style="282" bestFit="1" customWidth="1"/>
    <col min="7431" max="7431" width="21.21875" style="282" bestFit="1" customWidth="1"/>
    <col min="7432" max="7432" width="18.6640625" style="282" bestFit="1" customWidth="1"/>
    <col min="7433" max="7433" width="23.109375" style="282" bestFit="1" customWidth="1"/>
    <col min="7434" max="7434" width="20.88671875" style="282" bestFit="1" customWidth="1"/>
    <col min="7435" max="7435" width="19.77734375" style="282" bestFit="1" customWidth="1"/>
    <col min="7436" max="7680" width="9" style="282"/>
    <col min="7681" max="7681" width="8.33203125" style="282" bestFit="1" customWidth="1"/>
    <col min="7682" max="7682" width="23.21875" style="282" bestFit="1" customWidth="1"/>
    <col min="7683" max="7683" width="19.44140625" style="282" bestFit="1" customWidth="1"/>
    <col min="7684" max="7684" width="21.77734375" style="282" bestFit="1" customWidth="1"/>
    <col min="7685" max="7685" width="22.88671875" style="282" bestFit="1" customWidth="1"/>
    <col min="7686" max="7686" width="18.33203125" style="282" bestFit="1" customWidth="1"/>
    <col min="7687" max="7687" width="21.21875" style="282" bestFit="1" customWidth="1"/>
    <col min="7688" max="7688" width="18.6640625" style="282" bestFit="1" customWidth="1"/>
    <col min="7689" max="7689" width="23.109375" style="282" bestFit="1" customWidth="1"/>
    <col min="7690" max="7690" width="20.88671875" style="282" bestFit="1" customWidth="1"/>
    <col min="7691" max="7691" width="19.77734375" style="282" bestFit="1" customWidth="1"/>
    <col min="7692" max="7936" width="9" style="282"/>
    <col min="7937" max="7937" width="8.33203125" style="282" bestFit="1" customWidth="1"/>
    <col min="7938" max="7938" width="23.21875" style="282" bestFit="1" customWidth="1"/>
    <col min="7939" max="7939" width="19.44140625" style="282" bestFit="1" customWidth="1"/>
    <col min="7940" max="7940" width="21.77734375" style="282" bestFit="1" customWidth="1"/>
    <col min="7941" max="7941" width="22.88671875" style="282" bestFit="1" customWidth="1"/>
    <col min="7942" max="7942" width="18.33203125" style="282" bestFit="1" customWidth="1"/>
    <col min="7943" max="7943" width="21.21875" style="282" bestFit="1" customWidth="1"/>
    <col min="7944" max="7944" width="18.6640625" style="282" bestFit="1" customWidth="1"/>
    <col min="7945" max="7945" width="23.109375" style="282" bestFit="1" customWidth="1"/>
    <col min="7946" max="7946" width="20.88671875" style="282" bestFit="1" customWidth="1"/>
    <col min="7947" max="7947" width="19.77734375" style="282" bestFit="1" customWidth="1"/>
    <col min="7948" max="8192" width="9" style="282"/>
    <col min="8193" max="8193" width="8.33203125" style="282" bestFit="1" customWidth="1"/>
    <col min="8194" max="8194" width="23.21875" style="282" bestFit="1" customWidth="1"/>
    <col min="8195" max="8195" width="19.44140625" style="282" bestFit="1" customWidth="1"/>
    <col min="8196" max="8196" width="21.77734375" style="282" bestFit="1" customWidth="1"/>
    <col min="8197" max="8197" width="22.88671875" style="282" bestFit="1" customWidth="1"/>
    <col min="8198" max="8198" width="18.33203125" style="282" bestFit="1" customWidth="1"/>
    <col min="8199" max="8199" width="21.21875" style="282" bestFit="1" customWidth="1"/>
    <col min="8200" max="8200" width="18.6640625" style="282" bestFit="1" customWidth="1"/>
    <col min="8201" max="8201" width="23.109375" style="282" bestFit="1" customWidth="1"/>
    <col min="8202" max="8202" width="20.88671875" style="282" bestFit="1" customWidth="1"/>
    <col min="8203" max="8203" width="19.77734375" style="282" bestFit="1" customWidth="1"/>
    <col min="8204" max="8448" width="9" style="282"/>
    <col min="8449" max="8449" width="8.33203125" style="282" bestFit="1" customWidth="1"/>
    <col min="8450" max="8450" width="23.21875" style="282" bestFit="1" customWidth="1"/>
    <col min="8451" max="8451" width="19.44140625" style="282" bestFit="1" customWidth="1"/>
    <col min="8452" max="8452" width="21.77734375" style="282" bestFit="1" customWidth="1"/>
    <col min="8453" max="8453" width="22.88671875" style="282" bestFit="1" customWidth="1"/>
    <col min="8454" max="8454" width="18.33203125" style="282" bestFit="1" customWidth="1"/>
    <col min="8455" max="8455" width="21.21875" style="282" bestFit="1" customWidth="1"/>
    <col min="8456" max="8456" width="18.6640625" style="282" bestFit="1" customWidth="1"/>
    <col min="8457" max="8457" width="23.109375" style="282" bestFit="1" customWidth="1"/>
    <col min="8458" max="8458" width="20.88671875" style="282" bestFit="1" customWidth="1"/>
    <col min="8459" max="8459" width="19.77734375" style="282" bestFit="1" customWidth="1"/>
    <col min="8460" max="8704" width="9" style="282"/>
    <col min="8705" max="8705" width="8.33203125" style="282" bestFit="1" customWidth="1"/>
    <col min="8706" max="8706" width="23.21875" style="282" bestFit="1" customWidth="1"/>
    <col min="8707" max="8707" width="19.44140625" style="282" bestFit="1" customWidth="1"/>
    <col min="8708" max="8708" width="21.77734375" style="282" bestFit="1" customWidth="1"/>
    <col min="8709" max="8709" width="22.88671875" style="282" bestFit="1" customWidth="1"/>
    <col min="8710" max="8710" width="18.33203125" style="282" bestFit="1" customWidth="1"/>
    <col min="8711" max="8711" width="21.21875" style="282" bestFit="1" customWidth="1"/>
    <col min="8712" max="8712" width="18.6640625" style="282" bestFit="1" customWidth="1"/>
    <col min="8713" max="8713" width="23.109375" style="282" bestFit="1" customWidth="1"/>
    <col min="8714" max="8714" width="20.88671875" style="282" bestFit="1" customWidth="1"/>
    <col min="8715" max="8715" width="19.77734375" style="282" bestFit="1" customWidth="1"/>
    <col min="8716" max="8960" width="9" style="282"/>
    <col min="8961" max="8961" width="8.33203125" style="282" bestFit="1" customWidth="1"/>
    <col min="8962" max="8962" width="23.21875" style="282" bestFit="1" customWidth="1"/>
    <col min="8963" max="8963" width="19.44140625" style="282" bestFit="1" customWidth="1"/>
    <col min="8964" max="8964" width="21.77734375" style="282" bestFit="1" customWidth="1"/>
    <col min="8965" max="8965" width="22.88671875" style="282" bestFit="1" customWidth="1"/>
    <col min="8966" max="8966" width="18.33203125" style="282" bestFit="1" customWidth="1"/>
    <col min="8967" max="8967" width="21.21875" style="282" bestFit="1" customWidth="1"/>
    <col min="8968" max="8968" width="18.6640625" style="282" bestFit="1" customWidth="1"/>
    <col min="8969" max="8969" width="23.109375" style="282" bestFit="1" customWidth="1"/>
    <col min="8970" max="8970" width="20.88671875" style="282" bestFit="1" customWidth="1"/>
    <col min="8971" max="8971" width="19.77734375" style="282" bestFit="1" customWidth="1"/>
    <col min="8972" max="9216" width="9" style="282"/>
    <col min="9217" max="9217" width="8.33203125" style="282" bestFit="1" customWidth="1"/>
    <col min="9218" max="9218" width="23.21875" style="282" bestFit="1" customWidth="1"/>
    <col min="9219" max="9219" width="19.44140625" style="282" bestFit="1" customWidth="1"/>
    <col min="9220" max="9220" width="21.77734375" style="282" bestFit="1" customWidth="1"/>
    <col min="9221" max="9221" width="22.88671875" style="282" bestFit="1" customWidth="1"/>
    <col min="9222" max="9222" width="18.33203125" style="282" bestFit="1" customWidth="1"/>
    <col min="9223" max="9223" width="21.21875" style="282" bestFit="1" customWidth="1"/>
    <col min="9224" max="9224" width="18.6640625" style="282" bestFit="1" customWidth="1"/>
    <col min="9225" max="9225" width="23.109375" style="282" bestFit="1" customWidth="1"/>
    <col min="9226" max="9226" width="20.88671875" style="282" bestFit="1" customWidth="1"/>
    <col min="9227" max="9227" width="19.77734375" style="282" bestFit="1" customWidth="1"/>
    <col min="9228" max="9472" width="9" style="282"/>
    <col min="9473" max="9473" width="8.33203125" style="282" bestFit="1" customWidth="1"/>
    <col min="9474" max="9474" width="23.21875" style="282" bestFit="1" customWidth="1"/>
    <col min="9475" max="9475" width="19.44140625" style="282" bestFit="1" customWidth="1"/>
    <col min="9476" max="9476" width="21.77734375" style="282" bestFit="1" customWidth="1"/>
    <col min="9477" max="9477" width="22.88671875" style="282" bestFit="1" customWidth="1"/>
    <col min="9478" max="9478" width="18.33203125" style="282" bestFit="1" customWidth="1"/>
    <col min="9479" max="9479" width="21.21875" style="282" bestFit="1" customWidth="1"/>
    <col min="9480" max="9480" width="18.6640625" style="282" bestFit="1" customWidth="1"/>
    <col min="9481" max="9481" width="23.109375" style="282" bestFit="1" customWidth="1"/>
    <col min="9482" max="9482" width="20.88671875" style="282" bestFit="1" customWidth="1"/>
    <col min="9483" max="9483" width="19.77734375" style="282" bestFit="1" customWidth="1"/>
    <col min="9484" max="9728" width="9" style="282"/>
    <col min="9729" max="9729" width="8.33203125" style="282" bestFit="1" customWidth="1"/>
    <col min="9730" max="9730" width="23.21875" style="282" bestFit="1" customWidth="1"/>
    <col min="9731" max="9731" width="19.44140625" style="282" bestFit="1" customWidth="1"/>
    <col min="9732" max="9732" width="21.77734375" style="282" bestFit="1" customWidth="1"/>
    <col min="9733" max="9733" width="22.88671875" style="282" bestFit="1" customWidth="1"/>
    <col min="9734" max="9734" width="18.33203125" style="282" bestFit="1" customWidth="1"/>
    <col min="9735" max="9735" width="21.21875" style="282" bestFit="1" customWidth="1"/>
    <col min="9736" max="9736" width="18.6640625" style="282" bestFit="1" customWidth="1"/>
    <col min="9737" max="9737" width="23.109375" style="282" bestFit="1" customWidth="1"/>
    <col min="9738" max="9738" width="20.88671875" style="282" bestFit="1" customWidth="1"/>
    <col min="9739" max="9739" width="19.77734375" style="282" bestFit="1" customWidth="1"/>
    <col min="9740" max="9984" width="9" style="282"/>
    <col min="9985" max="9985" width="8.33203125" style="282" bestFit="1" customWidth="1"/>
    <col min="9986" max="9986" width="23.21875" style="282" bestFit="1" customWidth="1"/>
    <col min="9987" max="9987" width="19.44140625" style="282" bestFit="1" customWidth="1"/>
    <col min="9988" max="9988" width="21.77734375" style="282" bestFit="1" customWidth="1"/>
    <col min="9989" max="9989" width="22.88671875" style="282" bestFit="1" customWidth="1"/>
    <col min="9990" max="9990" width="18.33203125" style="282" bestFit="1" customWidth="1"/>
    <col min="9991" max="9991" width="21.21875" style="282" bestFit="1" customWidth="1"/>
    <col min="9992" max="9992" width="18.6640625" style="282" bestFit="1" customWidth="1"/>
    <col min="9993" max="9993" width="23.109375" style="282" bestFit="1" customWidth="1"/>
    <col min="9994" max="9994" width="20.88671875" style="282" bestFit="1" customWidth="1"/>
    <col min="9995" max="9995" width="19.77734375" style="282" bestFit="1" customWidth="1"/>
    <col min="9996" max="10240" width="9" style="282"/>
    <col min="10241" max="10241" width="8.33203125" style="282" bestFit="1" customWidth="1"/>
    <col min="10242" max="10242" width="23.21875" style="282" bestFit="1" customWidth="1"/>
    <col min="10243" max="10243" width="19.44140625" style="282" bestFit="1" customWidth="1"/>
    <col min="10244" max="10244" width="21.77734375" style="282" bestFit="1" customWidth="1"/>
    <col min="10245" max="10245" width="22.88671875" style="282" bestFit="1" customWidth="1"/>
    <col min="10246" max="10246" width="18.33203125" style="282" bestFit="1" customWidth="1"/>
    <col min="10247" max="10247" width="21.21875" style="282" bestFit="1" customWidth="1"/>
    <col min="10248" max="10248" width="18.6640625" style="282" bestFit="1" customWidth="1"/>
    <col min="10249" max="10249" width="23.109375" style="282" bestFit="1" customWidth="1"/>
    <col min="10250" max="10250" width="20.88671875" style="282" bestFit="1" customWidth="1"/>
    <col min="10251" max="10251" width="19.77734375" style="282" bestFit="1" customWidth="1"/>
    <col min="10252" max="10496" width="9" style="282"/>
    <col min="10497" max="10497" width="8.33203125" style="282" bestFit="1" customWidth="1"/>
    <col min="10498" max="10498" width="23.21875" style="282" bestFit="1" customWidth="1"/>
    <col min="10499" max="10499" width="19.44140625" style="282" bestFit="1" customWidth="1"/>
    <col min="10500" max="10500" width="21.77734375" style="282" bestFit="1" customWidth="1"/>
    <col min="10501" max="10501" width="22.88671875" style="282" bestFit="1" customWidth="1"/>
    <col min="10502" max="10502" width="18.33203125" style="282" bestFit="1" customWidth="1"/>
    <col min="10503" max="10503" width="21.21875" style="282" bestFit="1" customWidth="1"/>
    <col min="10504" max="10504" width="18.6640625" style="282" bestFit="1" customWidth="1"/>
    <col min="10505" max="10505" width="23.109375" style="282" bestFit="1" customWidth="1"/>
    <col min="10506" max="10506" width="20.88671875" style="282" bestFit="1" customWidth="1"/>
    <col min="10507" max="10507" width="19.77734375" style="282" bestFit="1" customWidth="1"/>
    <col min="10508" max="10752" width="9" style="282"/>
    <col min="10753" max="10753" width="8.33203125" style="282" bestFit="1" customWidth="1"/>
    <col min="10754" max="10754" width="23.21875" style="282" bestFit="1" customWidth="1"/>
    <col min="10755" max="10755" width="19.44140625" style="282" bestFit="1" customWidth="1"/>
    <col min="10756" max="10756" width="21.77734375" style="282" bestFit="1" customWidth="1"/>
    <col min="10757" max="10757" width="22.88671875" style="282" bestFit="1" customWidth="1"/>
    <col min="10758" max="10758" width="18.33203125" style="282" bestFit="1" customWidth="1"/>
    <col min="10759" max="10759" width="21.21875" style="282" bestFit="1" customWidth="1"/>
    <col min="10760" max="10760" width="18.6640625" style="282" bestFit="1" customWidth="1"/>
    <col min="10761" max="10761" width="23.109375" style="282" bestFit="1" customWidth="1"/>
    <col min="10762" max="10762" width="20.88671875" style="282" bestFit="1" customWidth="1"/>
    <col min="10763" max="10763" width="19.77734375" style="282" bestFit="1" customWidth="1"/>
    <col min="10764" max="11008" width="9" style="282"/>
    <col min="11009" max="11009" width="8.33203125" style="282" bestFit="1" customWidth="1"/>
    <col min="11010" max="11010" width="23.21875" style="282" bestFit="1" customWidth="1"/>
    <col min="11011" max="11011" width="19.44140625" style="282" bestFit="1" customWidth="1"/>
    <col min="11012" max="11012" width="21.77734375" style="282" bestFit="1" customWidth="1"/>
    <col min="11013" max="11013" width="22.88671875" style="282" bestFit="1" customWidth="1"/>
    <col min="11014" max="11014" width="18.33203125" style="282" bestFit="1" customWidth="1"/>
    <col min="11015" max="11015" width="21.21875" style="282" bestFit="1" customWidth="1"/>
    <col min="11016" max="11016" width="18.6640625" style="282" bestFit="1" customWidth="1"/>
    <col min="11017" max="11017" width="23.109375" style="282" bestFit="1" customWidth="1"/>
    <col min="11018" max="11018" width="20.88671875" style="282" bestFit="1" customWidth="1"/>
    <col min="11019" max="11019" width="19.77734375" style="282" bestFit="1" customWidth="1"/>
    <col min="11020" max="11264" width="9" style="282"/>
    <col min="11265" max="11265" width="8.33203125" style="282" bestFit="1" customWidth="1"/>
    <col min="11266" max="11266" width="23.21875" style="282" bestFit="1" customWidth="1"/>
    <col min="11267" max="11267" width="19.44140625" style="282" bestFit="1" customWidth="1"/>
    <col min="11268" max="11268" width="21.77734375" style="282" bestFit="1" customWidth="1"/>
    <col min="11269" max="11269" width="22.88671875" style="282" bestFit="1" customWidth="1"/>
    <col min="11270" max="11270" width="18.33203125" style="282" bestFit="1" customWidth="1"/>
    <col min="11271" max="11271" width="21.21875" style="282" bestFit="1" customWidth="1"/>
    <col min="11272" max="11272" width="18.6640625" style="282" bestFit="1" customWidth="1"/>
    <col min="11273" max="11273" width="23.109375" style="282" bestFit="1" customWidth="1"/>
    <col min="11274" max="11274" width="20.88671875" style="282" bestFit="1" customWidth="1"/>
    <col min="11275" max="11275" width="19.77734375" style="282" bestFit="1" customWidth="1"/>
    <col min="11276" max="11520" width="9" style="282"/>
    <col min="11521" max="11521" width="8.33203125" style="282" bestFit="1" customWidth="1"/>
    <col min="11522" max="11522" width="23.21875" style="282" bestFit="1" customWidth="1"/>
    <col min="11523" max="11523" width="19.44140625" style="282" bestFit="1" customWidth="1"/>
    <col min="11524" max="11524" width="21.77734375" style="282" bestFit="1" customWidth="1"/>
    <col min="11525" max="11525" width="22.88671875" style="282" bestFit="1" customWidth="1"/>
    <col min="11526" max="11526" width="18.33203125" style="282" bestFit="1" customWidth="1"/>
    <col min="11527" max="11527" width="21.21875" style="282" bestFit="1" customWidth="1"/>
    <col min="11528" max="11528" width="18.6640625" style="282" bestFit="1" customWidth="1"/>
    <col min="11529" max="11529" width="23.109375" style="282" bestFit="1" customWidth="1"/>
    <col min="11530" max="11530" width="20.88671875" style="282" bestFit="1" customWidth="1"/>
    <col min="11531" max="11531" width="19.77734375" style="282" bestFit="1" customWidth="1"/>
    <col min="11532" max="11776" width="9" style="282"/>
    <col min="11777" max="11777" width="8.33203125" style="282" bestFit="1" customWidth="1"/>
    <col min="11778" max="11778" width="23.21875" style="282" bestFit="1" customWidth="1"/>
    <col min="11779" max="11779" width="19.44140625" style="282" bestFit="1" customWidth="1"/>
    <col min="11780" max="11780" width="21.77734375" style="282" bestFit="1" customWidth="1"/>
    <col min="11781" max="11781" width="22.88671875" style="282" bestFit="1" customWidth="1"/>
    <col min="11782" max="11782" width="18.33203125" style="282" bestFit="1" customWidth="1"/>
    <col min="11783" max="11783" width="21.21875" style="282" bestFit="1" customWidth="1"/>
    <col min="11784" max="11784" width="18.6640625" style="282" bestFit="1" customWidth="1"/>
    <col min="11785" max="11785" width="23.109375" style="282" bestFit="1" customWidth="1"/>
    <col min="11786" max="11786" width="20.88671875" style="282" bestFit="1" customWidth="1"/>
    <col min="11787" max="11787" width="19.77734375" style="282" bestFit="1" customWidth="1"/>
    <col min="11788" max="12032" width="9" style="282"/>
    <col min="12033" max="12033" width="8.33203125" style="282" bestFit="1" customWidth="1"/>
    <col min="12034" max="12034" width="23.21875" style="282" bestFit="1" customWidth="1"/>
    <col min="12035" max="12035" width="19.44140625" style="282" bestFit="1" customWidth="1"/>
    <col min="12036" max="12036" width="21.77734375" style="282" bestFit="1" customWidth="1"/>
    <col min="12037" max="12037" width="22.88671875" style="282" bestFit="1" customWidth="1"/>
    <col min="12038" max="12038" width="18.33203125" style="282" bestFit="1" customWidth="1"/>
    <col min="12039" max="12039" width="21.21875" style="282" bestFit="1" customWidth="1"/>
    <col min="12040" max="12040" width="18.6640625" style="282" bestFit="1" customWidth="1"/>
    <col min="12041" max="12041" width="23.109375" style="282" bestFit="1" customWidth="1"/>
    <col min="12042" max="12042" width="20.88671875" style="282" bestFit="1" customWidth="1"/>
    <col min="12043" max="12043" width="19.77734375" style="282" bestFit="1" customWidth="1"/>
    <col min="12044" max="12288" width="9" style="282"/>
    <col min="12289" max="12289" width="8.33203125" style="282" bestFit="1" customWidth="1"/>
    <col min="12290" max="12290" width="23.21875" style="282" bestFit="1" customWidth="1"/>
    <col min="12291" max="12291" width="19.44140625" style="282" bestFit="1" customWidth="1"/>
    <col min="12292" max="12292" width="21.77734375" style="282" bestFit="1" customWidth="1"/>
    <col min="12293" max="12293" width="22.88671875" style="282" bestFit="1" customWidth="1"/>
    <col min="12294" max="12294" width="18.33203125" style="282" bestFit="1" customWidth="1"/>
    <col min="12295" max="12295" width="21.21875" style="282" bestFit="1" customWidth="1"/>
    <col min="12296" max="12296" width="18.6640625" style="282" bestFit="1" customWidth="1"/>
    <col min="12297" max="12297" width="23.109375" style="282" bestFit="1" customWidth="1"/>
    <col min="12298" max="12298" width="20.88671875" style="282" bestFit="1" customWidth="1"/>
    <col min="12299" max="12299" width="19.77734375" style="282" bestFit="1" customWidth="1"/>
    <col min="12300" max="12544" width="9" style="282"/>
    <col min="12545" max="12545" width="8.33203125" style="282" bestFit="1" customWidth="1"/>
    <col min="12546" max="12546" width="23.21875" style="282" bestFit="1" customWidth="1"/>
    <col min="12547" max="12547" width="19.44140625" style="282" bestFit="1" customWidth="1"/>
    <col min="12548" max="12548" width="21.77734375" style="282" bestFit="1" customWidth="1"/>
    <col min="12549" max="12549" width="22.88671875" style="282" bestFit="1" customWidth="1"/>
    <col min="12550" max="12550" width="18.33203125" style="282" bestFit="1" customWidth="1"/>
    <col min="12551" max="12551" width="21.21875" style="282" bestFit="1" customWidth="1"/>
    <col min="12552" max="12552" width="18.6640625" style="282" bestFit="1" customWidth="1"/>
    <col min="12553" max="12553" width="23.109375" style="282" bestFit="1" customWidth="1"/>
    <col min="12554" max="12554" width="20.88671875" style="282" bestFit="1" customWidth="1"/>
    <col min="12555" max="12555" width="19.77734375" style="282" bestFit="1" customWidth="1"/>
    <col min="12556" max="12800" width="9" style="282"/>
    <col min="12801" max="12801" width="8.33203125" style="282" bestFit="1" customWidth="1"/>
    <col min="12802" max="12802" width="23.21875" style="282" bestFit="1" customWidth="1"/>
    <col min="12803" max="12803" width="19.44140625" style="282" bestFit="1" customWidth="1"/>
    <col min="12804" max="12804" width="21.77734375" style="282" bestFit="1" customWidth="1"/>
    <col min="12805" max="12805" width="22.88671875" style="282" bestFit="1" customWidth="1"/>
    <col min="12806" max="12806" width="18.33203125" style="282" bestFit="1" customWidth="1"/>
    <col min="12807" max="12807" width="21.21875" style="282" bestFit="1" customWidth="1"/>
    <col min="12808" max="12808" width="18.6640625" style="282" bestFit="1" customWidth="1"/>
    <col min="12809" max="12809" width="23.109375" style="282" bestFit="1" customWidth="1"/>
    <col min="12810" max="12810" width="20.88671875" style="282" bestFit="1" customWidth="1"/>
    <col min="12811" max="12811" width="19.77734375" style="282" bestFit="1" customWidth="1"/>
    <col min="12812" max="13056" width="9" style="282"/>
    <col min="13057" max="13057" width="8.33203125" style="282" bestFit="1" customWidth="1"/>
    <col min="13058" max="13058" width="23.21875" style="282" bestFit="1" customWidth="1"/>
    <col min="13059" max="13059" width="19.44140625" style="282" bestFit="1" customWidth="1"/>
    <col min="13060" max="13060" width="21.77734375" style="282" bestFit="1" customWidth="1"/>
    <col min="13061" max="13061" width="22.88671875" style="282" bestFit="1" customWidth="1"/>
    <col min="13062" max="13062" width="18.33203125" style="282" bestFit="1" customWidth="1"/>
    <col min="13063" max="13063" width="21.21875" style="282" bestFit="1" customWidth="1"/>
    <col min="13064" max="13064" width="18.6640625" style="282" bestFit="1" customWidth="1"/>
    <col min="13065" max="13065" width="23.109375" style="282" bestFit="1" customWidth="1"/>
    <col min="13066" max="13066" width="20.88671875" style="282" bestFit="1" customWidth="1"/>
    <col min="13067" max="13067" width="19.77734375" style="282" bestFit="1" customWidth="1"/>
    <col min="13068" max="13312" width="9" style="282"/>
    <col min="13313" max="13313" width="8.33203125" style="282" bestFit="1" customWidth="1"/>
    <col min="13314" max="13314" width="23.21875" style="282" bestFit="1" customWidth="1"/>
    <col min="13315" max="13315" width="19.44140625" style="282" bestFit="1" customWidth="1"/>
    <col min="13316" max="13316" width="21.77734375" style="282" bestFit="1" customWidth="1"/>
    <col min="13317" max="13317" width="22.88671875" style="282" bestFit="1" customWidth="1"/>
    <col min="13318" max="13318" width="18.33203125" style="282" bestFit="1" customWidth="1"/>
    <col min="13319" max="13319" width="21.21875" style="282" bestFit="1" customWidth="1"/>
    <col min="13320" max="13320" width="18.6640625" style="282" bestFit="1" customWidth="1"/>
    <col min="13321" max="13321" width="23.109375" style="282" bestFit="1" customWidth="1"/>
    <col min="13322" max="13322" width="20.88671875" style="282" bestFit="1" customWidth="1"/>
    <col min="13323" max="13323" width="19.77734375" style="282" bestFit="1" customWidth="1"/>
    <col min="13324" max="13568" width="9" style="282"/>
    <col min="13569" max="13569" width="8.33203125" style="282" bestFit="1" customWidth="1"/>
    <col min="13570" max="13570" width="23.21875" style="282" bestFit="1" customWidth="1"/>
    <col min="13571" max="13571" width="19.44140625" style="282" bestFit="1" customWidth="1"/>
    <col min="13572" max="13572" width="21.77734375" style="282" bestFit="1" customWidth="1"/>
    <col min="13573" max="13573" width="22.88671875" style="282" bestFit="1" customWidth="1"/>
    <col min="13574" max="13574" width="18.33203125" style="282" bestFit="1" customWidth="1"/>
    <col min="13575" max="13575" width="21.21875" style="282" bestFit="1" customWidth="1"/>
    <col min="13576" max="13576" width="18.6640625" style="282" bestFit="1" customWidth="1"/>
    <col min="13577" max="13577" width="23.109375" style="282" bestFit="1" customWidth="1"/>
    <col min="13578" max="13578" width="20.88671875" style="282" bestFit="1" customWidth="1"/>
    <col min="13579" max="13579" width="19.77734375" style="282" bestFit="1" customWidth="1"/>
    <col min="13580" max="13824" width="9" style="282"/>
    <col min="13825" max="13825" width="8.33203125" style="282" bestFit="1" customWidth="1"/>
    <col min="13826" max="13826" width="23.21875" style="282" bestFit="1" customWidth="1"/>
    <col min="13827" max="13827" width="19.44140625" style="282" bestFit="1" customWidth="1"/>
    <col min="13828" max="13828" width="21.77734375" style="282" bestFit="1" customWidth="1"/>
    <col min="13829" max="13829" width="22.88671875" style="282" bestFit="1" customWidth="1"/>
    <col min="13830" max="13830" width="18.33203125" style="282" bestFit="1" customWidth="1"/>
    <col min="13831" max="13831" width="21.21875" style="282" bestFit="1" customWidth="1"/>
    <col min="13832" max="13832" width="18.6640625" style="282" bestFit="1" customWidth="1"/>
    <col min="13833" max="13833" width="23.109375" style="282" bestFit="1" customWidth="1"/>
    <col min="13834" max="13834" width="20.88671875" style="282" bestFit="1" customWidth="1"/>
    <col min="13835" max="13835" width="19.77734375" style="282" bestFit="1" customWidth="1"/>
    <col min="13836" max="14080" width="9" style="282"/>
    <col min="14081" max="14081" width="8.33203125" style="282" bestFit="1" customWidth="1"/>
    <col min="14082" max="14082" width="23.21875" style="282" bestFit="1" customWidth="1"/>
    <col min="14083" max="14083" width="19.44140625" style="282" bestFit="1" customWidth="1"/>
    <col min="14084" max="14084" width="21.77734375" style="282" bestFit="1" customWidth="1"/>
    <col min="14085" max="14085" width="22.88671875" style="282" bestFit="1" customWidth="1"/>
    <col min="14086" max="14086" width="18.33203125" style="282" bestFit="1" customWidth="1"/>
    <col min="14087" max="14087" width="21.21875" style="282" bestFit="1" customWidth="1"/>
    <col min="14088" max="14088" width="18.6640625" style="282" bestFit="1" customWidth="1"/>
    <col min="14089" max="14089" width="23.109375" style="282" bestFit="1" customWidth="1"/>
    <col min="14090" max="14090" width="20.88671875" style="282" bestFit="1" customWidth="1"/>
    <col min="14091" max="14091" width="19.77734375" style="282" bestFit="1" customWidth="1"/>
    <col min="14092" max="14336" width="9" style="282"/>
    <col min="14337" max="14337" width="8.33203125" style="282" bestFit="1" customWidth="1"/>
    <col min="14338" max="14338" width="23.21875" style="282" bestFit="1" customWidth="1"/>
    <col min="14339" max="14339" width="19.44140625" style="282" bestFit="1" customWidth="1"/>
    <col min="14340" max="14340" width="21.77734375" style="282" bestFit="1" customWidth="1"/>
    <col min="14341" max="14341" width="22.88671875" style="282" bestFit="1" customWidth="1"/>
    <col min="14342" max="14342" width="18.33203125" style="282" bestFit="1" customWidth="1"/>
    <col min="14343" max="14343" width="21.21875" style="282" bestFit="1" customWidth="1"/>
    <col min="14344" max="14344" width="18.6640625" style="282" bestFit="1" customWidth="1"/>
    <col min="14345" max="14345" width="23.109375" style="282" bestFit="1" customWidth="1"/>
    <col min="14346" max="14346" width="20.88671875" style="282" bestFit="1" customWidth="1"/>
    <col min="14347" max="14347" width="19.77734375" style="282" bestFit="1" customWidth="1"/>
    <col min="14348" max="14592" width="9" style="282"/>
    <col min="14593" max="14593" width="8.33203125" style="282" bestFit="1" customWidth="1"/>
    <col min="14594" max="14594" width="23.21875" style="282" bestFit="1" customWidth="1"/>
    <col min="14595" max="14595" width="19.44140625" style="282" bestFit="1" customWidth="1"/>
    <col min="14596" max="14596" width="21.77734375" style="282" bestFit="1" customWidth="1"/>
    <col min="14597" max="14597" width="22.88671875" style="282" bestFit="1" customWidth="1"/>
    <col min="14598" max="14598" width="18.33203125" style="282" bestFit="1" customWidth="1"/>
    <col min="14599" max="14599" width="21.21875" style="282" bestFit="1" customWidth="1"/>
    <col min="14600" max="14600" width="18.6640625" style="282" bestFit="1" customWidth="1"/>
    <col min="14601" max="14601" width="23.109375" style="282" bestFit="1" customWidth="1"/>
    <col min="14602" max="14602" width="20.88671875" style="282" bestFit="1" customWidth="1"/>
    <col min="14603" max="14603" width="19.77734375" style="282" bestFit="1" customWidth="1"/>
    <col min="14604" max="14848" width="9" style="282"/>
    <col min="14849" max="14849" width="8.33203125" style="282" bestFit="1" customWidth="1"/>
    <col min="14850" max="14850" width="23.21875" style="282" bestFit="1" customWidth="1"/>
    <col min="14851" max="14851" width="19.44140625" style="282" bestFit="1" customWidth="1"/>
    <col min="14852" max="14852" width="21.77734375" style="282" bestFit="1" customWidth="1"/>
    <col min="14853" max="14853" width="22.88671875" style="282" bestFit="1" customWidth="1"/>
    <col min="14854" max="14854" width="18.33203125" style="282" bestFit="1" customWidth="1"/>
    <col min="14855" max="14855" width="21.21875" style="282" bestFit="1" customWidth="1"/>
    <col min="14856" max="14856" width="18.6640625" style="282" bestFit="1" customWidth="1"/>
    <col min="14857" max="14857" width="23.109375" style="282" bestFit="1" customWidth="1"/>
    <col min="14858" max="14858" width="20.88671875" style="282" bestFit="1" customWidth="1"/>
    <col min="14859" max="14859" width="19.77734375" style="282" bestFit="1" customWidth="1"/>
    <col min="14860" max="15104" width="9" style="282"/>
    <col min="15105" max="15105" width="8.33203125" style="282" bestFit="1" customWidth="1"/>
    <col min="15106" max="15106" width="23.21875" style="282" bestFit="1" customWidth="1"/>
    <col min="15107" max="15107" width="19.44140625" style="282" bestFit="1" customWidth="1"/>
    <col min="15108" max="15108" width="21.77734375" style="282" bestFit="1" customWidth="1"/>
    <col min="15109" max="15109" width="22.88671875" style="282" bestFit="1" customWidth="1"/>
    <col min="15110" max="15110" width="18.33203125" style="282" bestFit="1" customWidth="1"/>
    <col min="15111" max="15111" width="21.21875" style="282" bestFit="1" customWidth="1"/>
    <col min="15112" max="15112" width="18.6640625" style="282" bestFit="1" customWidth="1"/>
    <col min="15113" max="15113" width="23.109375" style="282" bestFit="1" customWidth="1"/>
    <col min="15114" max="15114" width="20.88671875" style="282" bestFit="1" customWidth="1"/>
    <col min="15115" max="15115" width="19.77734375" style="282" bestFit="1" customWidth="1"/>
    <col min="15116" max="15360" width="9" style="282"/>
    <col min="15361" max="15361" width="8.33203125" style="282" bestFit="1" customWidth="1"/>
    <col min="15362" max="15362" width="23.21875" style="282" bestFit="1" customWidth="1"/>
    <col min="15363" max="15363" width="19.44140625" style="282" bestFit="1" customWidth="1"/>
    <col min="15364" max="15364" width="21.77734375" style="282" bestFit="1" customWidth="1"/>
    <col min="15365" max="15365" width="22.88671875" style="282" bestFit="1" customWidth="1"/>
    <col min="15366" max="15366" width="18.33203125" style="282" bestFit="1" customWidth="1"/>
    <col min="15367" max="15367" width="21.21875" style="282" bestFit="1" customWidth="1"/>
    <col min="15368" max="15368" width="18.6640625" style="282" bestFit="1" customWidth="1"/>
    <col min="15369" max="15369" width="23.109375" style="282" bestFit="1" customWidth="1"/>
    <col min="15370" max="15370" width="20.88671875" style="282" bestFit="1" customWidth="1"/>
    <col min="15371" max="15371" width="19.77734375" style="282" bestFit="1" customWidth="1"/>
    <col min="15372" max="15616" width="9" style="282"/>
    <col min="15617" max="15617" width="8.33203125" style="282" bestFit="1" customWidth="1"/>
    <col min="15618" max="15618" width="23.21875" style="282" bestFit="1" customWidth="1"/>
    <col min="15619" max="15619" width="19.44140625" style="282" bestFit="1" customWidth="1"/>
    <col min="15620" max="15620" width="21.77734375" style="282" bestFit="1" customWidth="1"/>
    <col min="15621" max="15621" width="22.88671875" style="282" bestFit="1" customWidth="1"/>
    <col min="15622" max="15622" width="18.33203125" style="282" bestFit="1" customWidth="1"/>
    <col min="15623" max="15623" width="21.21875" style="282" bestFit="1" customWidth="1"/>
    <col min="15624" max="15624" width="18.6640625" style="282" bestFit="1" customWidth="1"/>
    <col min="15625" max="15625" width="23.109375" style="282" bestFit="1" customWidth="1"/>
    <col min="15626" max="15626" width="20.88671875" style="282" bestFit="1" customWidth="1"/>
    <col min="15627" max="15627" width="19.77734375" style="282" bestFit="1" customWidth="1"/>
    <col min="15628" max="15872" width="9" style="282"/>
    <col min="15873" max="15873" width="8.33203125" style="282" bestFit="1" customWidth="1"/>
    <col min="15874" max="15874" width="23.21875" style="282" bestFit="1" customWidth="1"/>
    <col min="15875" max="15875" width="19.44140625" style="282" bestFit="1" customWidth="1"/>
    <col min="15876" max="15876" width="21.77734375" style="282" bestFit="1" customWidth="1"/>
    <col min="15877" max="15877" width="22.88671875" style="282" bestFit="1" customWidth="1"/>
    <col min="15878" max="15878" width="18.33203125" style="282" bestFit="1" customWidth="1"/>
    <col min="15879" max="15879" width="21.21875" style="282" bestFit="1" customWidth="1"/>
    <col min="15880" max="15880" width="18.6640625" style="282" bestFit="1" customWidth="1"/>
    <col min="15881" max="15881" width="23.109375" style="282" bestFit="1" customWidth="1"/>
    <col min="15882" max="15882" width="20.88671875" style="282" bestFit="1" customWidth="1"/>
    <col min="15883" max="15883" width="19.77734375" style="282" bestFit="1" customWidth="1"/>
    <col min="15884" max="16128" width="9" style="282"/>
    <col min="16129" max="16129" width="8.33203125" style="282" bestFit="1" customWidth="1"/>
    <col min="16130" max="16130" width="23.21875" style="282" bestFit="1" customWidth="1"/>
    <col min="16131" max="16131" width="19.44140625" style="282" bestFit="1" customWidth="1"/>
    <col min="16132" max="16132" width="21.77734375" style="282" bestFit="1" customWidth="1"/>
    <col min="16133" max="16133" width="22.88671875" style="282" bestFit="1" customWidth="1"/>
    <col min="16134" max="16134" width="18.33203125" style="282" bestFit="1" customWidth="1"/>
    <col min="16135" max="16135" width="21.21875" style="282" bestFit="1" customWidth="1"/>
    <col min="16136" max="16136" width="18.6640625" style="282" bestFit="1" customWidth="1"/>
    <col min="16137" max="16137" width="23.109375" style="282" bestFit="1" customWidth="1"/>
    <col min="16138" max="16138" width="20.88671875" style="282" bestFit="1" customWidth="1"/>
    <col min="16139" max="16139" width="19.77734375" style="282" bestFit="1" customWidth="1"/>
    <col min="16140" max="16384" width="9" style="282"/>
  </cols>
  <sheetData>
    <row r="1" spans="1:11" ht="15" thickBot="1" x14ac:dyDescent="0.35"/>
    <row r="2" spans="1:11" ht="18" thickBot="1" x14ac:dyDescent="0.4">
      <c r="A2" s="283" t="s">
        <v>93</v>
      </c>
      <c r="B2" s="284"/>
    </row>
    <row r="3" spans="1:11" s="288" customFormat="1" x14ac:dyDescent="0.3">
      <c r="A3" s="285"/>
      <c r="B3" s="286" t="s">
        <v>23</v>
      </c>
      <c r="C3" s="286" t="s">
        <v>31</v>
      </c>
      <c r="D3" s="286" t="s">
        <v>38</v>
      </c>
      <c r="E3" s="286" t="s">
        <v>44</v>
      </c>
      <c r="F3" s="286" t="s">
        <v>50</v>
      </c>
      <c r="G3" s="286" t="s">
        <v>63</v>
      </c>
      <c r="H3" s="286" t="s">
        <v>68</v>
      </c>
      <c r="I3" s="286" t="s">
        <v>74</v>
      </c>
      <c r="J3" s="286" t="s">
        <v>83</v>
      </c>
      <c r="K3" s="287" t="s">
        <v>1</v>
      </c>
    </row>
    <row r="4" spans="1:11" ht="15.6" x14ac:dyDescent="0.3">
      <c r="A4" s="289" t="s">
        <v>94</v>
      </c>
      <c r="B4" s="290" t="s">
        <v>95</v>
      </c>
      <c r="C4" s="290" t="s">
        <v>96</v>
      </c>
      <c r="D4" s="290" t="s">
        <v>97</v>
      </c>
      <c r="E4" s="290" t="s">
        <v>98</v>
      </c>
      <c r="F4" s="290" t="s">
        <v>99</v>
      </c>
      <c r="G4" s="290" t="s">
        <v>100</v>
      </c>
      <c r="H4" s="290" t="s">
        <v>101</v>
      </c>
      <c r="I4" s="290" t="s">
        <v>102</v>
      </c>
      <c r="J4" s="290" t="s">
        <v>103</v>
      </c>
      <c r="K4" s="291" t="s">
        <v>104</v>
      </c>
    </row>
    <row r="5" spans="1:11" x14ac:dyDescent="0.3">
      <c r="A5" s="292"/>
      <c r="B5" s="293"/>
      <c r="C5" s="293"/>
      <c r="D5" s="293"/>
      <c r="E5" s="293"/>
      <c r="F5" s="293"/>
      <c r="G5" s="293"/>
      <c r="H5" s="293"/>
      <c r="I5" s="293"/>
      <c r="J5" s="293"/>
      <c r="K5" s="294"/>
    </row>
    <row r="6" spans="1:11" x14ac:dyDescent="0.3">
      <c r="A6" s="292"/>
      <c r="B6" s="293" t="s">
        <v>105</v>
      </c>
      <c r="C6" s="293" t="s">
        <v>35</v>
      </c>
      <c r="D6" s="293"/>
      <c r="E6" s="293"/>
      <c r="F6" s="293" t="s">
        <v>106</v>
      </c>
      <c r="G6" s="293"/>
      <c r="H6" s="293" t="s">
        <v>70</v>
      </c>
      <c r="I6" s="293"/>
      <c r="J6" s="293"/>
      <c r="K6" s="294" t="s">
        <v>88</v>
      </c>
    </row>
    <row r="7" spans="1:11" x14ac:dyDescent="0.3">
      <c r="A7" s="292"/>
      <c r="B7" s="293" t="s">
        <v>107</v>
      </c>
      <c r="C7" s="293"/>
      <c r="D7" s="293" t="s">
        <v>40</v>
      </c>
      <c r="E7" s="293"/>
      <c r="F7" s="293" t="s">
        <v>61</v>
      </c>
      <c r="G7" s="293" t="s">
        <v>108</v>
      </c>
      <c r="H7" s="293" t="s">
        <v>109</v>
      </c>
      <c r="I7" s="293" t="s">
        <v>81</v>
      </c>
      <c r="K7" s="294" t="s">
        <v>91</v>
      </c>
    </row>
    <row r="8" spans="1:11" x14ac:dyDescent="0.3">
      <c r="A8" s="292"/>
      <c r="B8" s="293" t="s">
        <v>110</v>
      </c>
      <c r="C8" s="293"/>
      <c r="D8" s="293" t="s">
        <v>111</v>
      </c>
      <c r="E8" s="293"/>
      <c r="F8" s="293"/>
      <c r="G8" s="293" t="s">
        <v>112</v>
      </c>
      <c r="H8" s="293"/>
      <c r="I8" s="293" t="s">
        <v>113</v>
      </c>
      <c r="J8" s="293" t="s">
        <v>114</v>
      </c>
      <c r="K8" s="294"/>
    </row>
    <row r="9" spans="1:11" x14ac:dyDescent="0.3">
      <c r="A9" s="292"/>
      <c r="B9" s="293" t="s">
        <v>115</v>
      </c>
      <c r="C9" s="293" t="s">
        <v>116</v>
      </c>
      <c r="D9" s="293" t="s">
        <v>116</v>
      </c>
      <c r="E9" s="293" t="s">
        <v>117</v>
      </c>
      <c r="F9" s="293" t="s">
        <v>117</v>
      </c>
      <c r="G9" s="293" t="s">
        <v>117</v>
      </c>
      <c r="H9" s="293" t="s">
        <v>117</v>
      </c>
      <c r="I9" s="293" t="s">
        <v>116</v>
      </c>
      <c r="J9" s="293" t="s">
        <v>117</v>
      </c>
      <c r="K9" s="294"/>
    </row>
    <row r="10" spans="1:11" x14ac:dyDescent="0.3">
      <c r="A10" s="292"/>
      <c r="B10" s="293" t="s">
        <v>118</v>
      </c>
      <c r="C10" s="293" t="s">
        <v>119</v>
      </c>
      <c r="D10" s="293" t="s">
        <v>120</v>
      </c>
      <c r="E10" s="293"/>
      <c r="F10" s="293"/>
      <c r="G10" s="293" t="s">
        <v>121</v>
      </c>
      <c r="H10" s="293"/>
      <c r="I10" s="293"/>
      <c r="J10" s="293"/>
      <c r="K10" s="294"/>
    </row>
    <row r="11" spans="1:11" x14ac:dyDescent="0.3">
      <c r="A11" s="292" t="s">
        <v>122</v>
      </c>
      <c r="B11" s="293" t="s">
        <v>123</v>
      </c>
      <c r="C11" s="293" t="s">
        <v>124</v>
      </c>
      <c r="D11" s="293" t="s">
        <v>125</v>
      </c>
      <c r="E11" s="293" t="s">
        <v>126</v>
      </c>
      <c r="F11" s="293" t="s">
        <v>127</v>
      </c>
      <c r="G11" s="293" t="s">
        <v>128</v>
      </c>
      <c r="H11" s="293" t="s">
        <v>129</v>
      </c>
      <c r="I11" s="293" t="s">
        <v>130</v>
      </c>
      <c r="J11" s="293"/>
      <c r="K11" s="294"/>
    </row>
    <row r="12" spans="1:11" x14ac:dyDescent="0.3">
      <c r="A12" s="292"/>
      <c r="B12" s="293" t="s">
        <v>131</v>
      </c>
      <c r="C12" s="293"/>
      <c r="D12" s="293" t="s">
        <v>132</v>
      </c>
      <c r="E12" s="293" t="s">
        <v>133</v>
      </c>
      <c r="F12" s="293"/>
      <c r="G12" s="293" t="s">
        <v>134</v>
      </c>
      <c r="H12" s="293"/>
      <c r="I12" s="293" t="s">
        <v>135</v>
      </c>
      <c r="J12" s="293"/>
      <c r="K12" s="294"/>
    </row>
    <row r="13" spans="1:11" ht="15" thickBot="1" x14ac:dyDescent="0.35">
      <c r="A13" s="295"/>
      <c r="B13" s="296"/>
      <c r="C13" s="296"/>
      <c r="D13" s="296" t="s">
        <v>136</v>
      </c>
      <c r="E13" s="296" t="s">
        <v>137</v>
      </c>
      <c r="F13" s="296" t="s">
        <v>138</v>
      </c>
      <c r="G13" s="296" t="s">
        <v>139</v>
      </c>
      <c r="H13" s="296"/>
      <c r="I13" s="296" t="s">
        <v>140</v>
      </c>
      <c r="J13" s="296" t="s">
        <v>141</v>
      </c>
      <c r="K13" s="297"/>
    </row>
  </sheetData>
  <mergeCells count="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CD10-35E5-4BF3-AECC-7B81BD84EDA6}">
  <sheetPr>
    <pageSetUpPr autoPageBreaks="0"/>
  </sheetPr>
  <dimension ref="A1:L207"/>
  <sheetViews>
    <sheetView showGridLines="0" zoomScaleNormal="100" workbookViewId="0">
      <selection activeCell="N191" sqref="N191"/>
    </sheetView>
  </sheetViews>
  <sheetFormatPr defaultColWidth="8.77734375" defaultRowHeight="14.4" x14ac:dyDescent="0.3"/>
  <cols>
    <col min="1" max="1" width="1.6640625" style="2" customWidth="1"/>
    <col min="2" max="2" width="17.33203125" style="2" bestFit="1" customWidth="1"/>
    <col min="3" max="3" width="15.77734375" style="2" customWidth="1"/>
    <col min="4" max="4" width="14.44140625" style="2" customWidth="1"/>
    <col min="5" max="5" width="16.77734375" style="2" customWidth="1"/>
    <col min="6" max="6" width="16.6640625" style="2" customWidth="1"/>
    <col min="7" max="7" width="19.88671875" style="2" customWidth="1"/>
    <col min="8" max="8" width="17" style="2" customWidth="1"/>
    <col min="9" max="9" width="1.6640625" style="2" customWidth="1"/>
    <col min="10" max="13" width="8.77734375" style="2"/>
    <col min="14" max="14" width="6.77734375" style="2" customWidth="1"/>
    <col min="15" max="256" width="8.77734375" style="2"/>
    <col min="257" max="257" width="1.6640625" style="2" customWidth="1"/>
    <col min="258" max="258" width="17.33203125" style="2" bestFit="1" customWidth="1"/>
    <col min="259" max="259" width="15.77734375" style="2" customWidth="1"/>
    <col min="260" max="260" width="14.44140625" style="2" customWidth="1"/>
    <col min="261" max="261" width="16.77734375" style="2" customWidth="1"/>
    <col min="262" max="262" width="16.6640625" style="2" customWidth="1"/>
    <col min="263" max="263" width="19.88671875" style="2" customWidth="1"/>
    <col min="264" max="264" width="17" style="2" customWidth="1"/>
    <col min="265" max="265" width="1.6640625" style="2" customWidth="1"/>
    <col min="266" max="269" width="8.77734375" style="2"/>
    <col min="270" max="270" width="6.77734375" style="2" customWidth="1"/>
    <col min="271" max="512" width="8.77734375" style="2"/>
    <col min="513" max="513" width="1.6640625" style="2" customWidth="1"/>
    <col min="514" max="514" width="17.33203125" style="2" bestFit="1" customWidth="1"/>
    <col min="515" max="515" width="15.77734375" style="2" customWidth="1"/>
    <col min="516" max="516" width="14.44140625" style="2" customWidth="1"/>
    <col min="517" max="517" width="16.77734375" style="2" customWidth="1"/>
    <col min="518" max="518" width="16.6640625" style="2" customWidth="1"/>
    <col min="519" max="519" width="19.88671875" style="2" customWidth="1"/>
    <col min="520" max="520" width="17" style="2" customWidth="1"/>
    <col min="521" max="521" width="1.6640625" style="2" customWidth="1"/>
    <col min="522" max="525" width="8.77734375" style="2"/>
    <col min="526" max="526" width="6.77734375" style="2" customWidth="1"/>
    <col min="527" max="768" width="8.77734375" style="2"/>
    <col min="769" max="769" width="1.6640625" style="2" customWidth="1"/>
    <col min="770" max="770" width="17.33203125" style="2" bestFit="1" customWidth="1"/>
    <col min="771" max="771" width="15.77734375" style="2" customWidth="1"/>
    <col min="772" max="772" width="14.44140625" style="2" customWidth="1"/>
    <col min="773" max="773" width="16.77734375" style="2" customWidth="1"/>
    <col min="774" max="774" width="16.6640625" style="2" customWidth="1"/>
    <col min="775" max="775" width="19.88671875" style="2" customWidth="1"/>
    <col min="776" max="776" width="17" style="2" customWidth="1"/>
    <col min="777" max="777" width="1.6640625" style="2" customWidth="1"/>
    <col min="778" max="781" width="8.77734375" style="2"/>
    <col min="782" max="782" width="6.77734375" style="2" customWidth="1"/>
    <col min="783" max="1024" width="8.77734375" style="2"/>
    <col min="1025" max="1025" width="1.6640625" style="2" customWidth="1"/>
    <col min="1026" max="1026" width="17.33203125" style="2" bestFit="1" customWidth="1"/>
    <col min="1027" max="1027" width="15.77734375" style="2" customWidth="1"/>
    <col min="1028" max="1028" width="14.44140625" style="2" customWidth="1"/>
    <col min="1029" max="1029" width="16.77734375" style="2" customWidth="1"/>
    <col min="1030" max="1030" width="16.6640625" style="2" customWidth="1"/>
    <col min="1031" max="1031" width="19.88671875" style="2" customWidth="1"/>
    <col min="1032" max="1032" width="17" style="2" customWidth="1"/>
    <col min="1033" max="1033" width="1.6640625" style="2" customWidth="1"/>
    <col min="1034" max="1037" width="8.77734375" style="2"/>
    <col min="1038" max="1038" width="6.77734375" style="2" customWidth="1"/>
    <col min="1039" max="1280" width="8.77734375" style="2"/>
    <col min="1281" max="1281" width="1.6640625" style="2" customWidth="1"/>
    <col min="1282" max="1282" width="17.33203125" style="2" bestFit="1" customWidth="1"/>
    <col min="1283" max="1283" width="15.77734375" style="2" customWidth="1"/>
    <col min="1284" max="1284" width="14.44140625" style="2" customWidth="1"/>
    <col min="1285" max="1285" width="16.77734375" style="2" customWidth="1"/>
    <col min="1286" max="1286" width="16.6640625" style="2" customWidth="1"/>
    <col min="1287" max="1287" width="19.88671875" style="2" customWidth="1"/>
    <col min="1288" max="1288" width="17" style="2" customWidth="1"/>
    <col min="1289" max="1289" width="1.6640625" style="2" customWidth="1"/>
    <col min="1290" max="1293" width="8.77734375" style="2"/>
    <col min="1294" max="1294" width="6.77734375" style="2" customWidth="1"/>
    <col min="1295" max="1536" width="8.77734375" style="2"/>
    <col min="1537" max="1537" width="1.6640625" style="2" customWidth="1"/>
    <col min="1538" max="1538" width="17.33203125" style="2" bestFit="1" customWidth="1"/>
    <col min="1539" max="1539" width="15.77734375" style="2" customWidth="1"/>
    <col min="1540" max="1540" width="14.44140625" style="2" customWidth="1"/>
    <col min="1541" max="1541" width="16.77734375" style="2" customWidth="1"/>
    <col min="1542" max="1542" width="16.6640625" style="2" customWidth="1"/>
    <col min="1543" max="1543" width="19.88671875" style="2" customWidth="1"/>
    <col min="1544" max="1544" width="17" style="2" customWidth="1"/>
    <col min="1545" max="1545" width="1.6640625" style="2" customWidth="1"/>
    <col min="1546" max="1549" width="8.77734375" style="2"/>
    <col min="1550" max="1550" width="6.77734375" style="2" customWidth="1"/>
    <col min="1551" max="1792" width="8.77734375" style="2"/>
    <col min="1793" max="1793" width="1.6640625" style="2" customWidth="1"/>
    <col min="1794" max="1794" width="17.33203125" style="2" bestFit="1" customWidth="1"/>
    <col min="1795" max="1795" width="15.77734375" style="2" customWidth="1"/>
    <col min="1796" max="1796" width="14.44140625" style="2" customWidth="1"/>
    <col min="1797" max="1797" width="16.77734375" style="2" customWidth="1"/>
    <col min="1798" max="1798" width="16.6640625" style="2" customWidth="1"/>
    <col min="1799" max="1799" width="19.88671875" style="2" customWidth="1"/>
    <col min="1800" max="1800" width="17" style="2" customWidth="1"/>
    <col min="1801" max="1801" width="1.6640625" style="2" customWidth="1"/>
    <col min="1802" max="1805" width="8.77734375" style="2"/>
    <col min="1806" max="1806" width="6.77734375" style="2" customWidth="1"/>
    <col min="1807" max="2048" width="8.77734375" style="2"/>
    <col min="2049" max="2049" width="1.6640625" style="2" customWidth="1"/>
    <col min="2050" max="2050" width="17.33203125" style="2" bestFit="1" customWidth="1"/>
    <col min="2051" max="2051" width="15.77734375" style="2" customWidth="1"/>
    <col min="2052" max="2052" width="14.44140625" style="2" customWidth="1"/>
    <col min="2053" max="2053" width="16.77734375" style="2" customWidth="1"/>
    <col min="2054" max="2054" width="16.6640625" style="2" customWidth="1"/>
    <col min="2055" max="2055" width="19.88671875" style="2" customWidth="1"/>
    <col min="2056" max="2056" width="17" style="2" customWidth="1"/>
    <col min="2057" max="2057" width="1.6640625" style="2" customWidth="1"/>
    <col min="2058" max="2061" width="8.77734375" style="2"/>
    <col min="2062" max="2062" width="6.77734375" style="2" customWidth="1"/>
    <col min="2063" max="2304" width="8.77734375" style="2"/>
    <col min="2305" max="2305" width="1.6640625" style="2" customWidth="1"/>
    <col min="2306" max="2306" width="17.33203125" style="2" bestFit="1" customWidth="1"/>
    <col min="2307" max="2307" width="15.77734375" style="2" customWidth="1"/>
    <col min="2308" max="2308" width="14.44140625" style="2" customWidth="1"/>
    <col min="2309" max="2309" width="16.77734375" style="2" customWidth="1"/>
    <col min="2310" max="2310" width="16.6640625" style="2" customWidth="1"/>
    <col min="2311" max="2311" width="19.88671875" style="2" customWidth="1"/>
    <col min="2312" max="2312" width="17" style="2" customWidth="1"/>
    <col min="2313" max="2313" width="1.6640625" style="2" customWidth="1"/>
    <col min="2314" max="2317" width="8.77734375" style="2"/>
    <col min="2318" max="2318" width="6.77734375" style="2" customWidth="1"/>
    <col min="2319" max="2560" width="8.77734375" style="2"/>
    <col min="2561" max="2561" width="1.6640625" style="2" customWidth="1"/>
    <col min="2562" max="2562" width="17.33203125" style="2" bestFit="1" customWidth="1"/>
    <col min="2563" max="2563" width="15.77734375" style="2" customWidth="1"/>
    <col min="2564" max="2564" width="14.44140625" style="2" customWidth="1"/>
    <col min="2565" max="2565" width="16.77734375" style="2" customWidth="1"/>
    <col min="2566" max="2566" width="16.6640625" style="2" customWidth="1"/>
    <col min="2567" max="2567" width="19.88671875" style="2" customWidth="1"/>
    <col min="2568" max="2568" width="17" style="2" customWidth="1"/>
    <col min="2569" max="2569" width="1.6640625" style="2" customWidth="1"/>
    <col min="2570" max="2573" width="8.77734375" style="2"/>
    <col min="2574" max="2574" width="6.77734375" style="2" customWidth="1"/>
    <col min="2575" max="2816" width="8.77734375" style="2"/>
    <col min="2817" max="2817" width="1.6640625" style="2" customWidth="1"/>
    <col min="2818" max="2818" width="17.33203125" style="2" bestFit="1" customWidth="1"/>
    <col min="2819" max="2819" width="15.77734375" style="2" customWidth="1"/>
    <col min="2820" max="2820" width="14.44140625" style="2" customWidth="1"/>
    <col min="2821" max="2821" width="16.77734375" style="2" customWidth="1"/>
    <col min="2822" max="2822" width="16.6640625" style="2" customWidth="1"/>
    <col min="2823" max="2823" width="19.88671875" style="2" customWidth="1"/>
    <col min="2824" max="2824" width="17" style="2" customWidth="1"/>
    <col min="2825" max="2825" width="1.6640625" style="2" customWidth="1"/>
    <col min="2826" max="2829" width="8.77734375" style="2"/>
    <col min="2830" max="2830" width="6.77734375" style="2" customWidth="1"/>
    <col min="2831" max="3072" width="8.77734375" style="2"/>
    <col min="3073" max="3073" width="1.6640625" style="2" customWidth="1"/>
    <col min="3074" max="3074" width="17.33203125" style="2" bestFit="1" customWidth="1"/>
    <col min="3075" max="3075" width="15.77734375" style="2" customWidth="1"/>
    <col min="3076" max="3076" width="14.44140625" style="2" customWidth="1"/>
    <col min="3077" max="3077" width="16.77734375" style="2" customWidth="1"/>
    <col min="3078" max="3078" width="16.6640625" style="2" customWidth="1"/>
    <col min="3079" max="3079" width="19.88671875" style="2" customWidth="1"/>
    <col min="3080" max="3080" width="17" style="2" customWidth="1"/>
    <col min="3081" max="3081" width="1.6640625" style="2" customWidth="1"/>
    <col min="3082" max="3085" width="8.77734375" style="2"/>
    <col min="3086" max="3086" width="6.77734375" style="2" customWidth="1"/>
    <col min="3087" max="3328" width="8.77734375" style="2"/>
    <col min="3329" max="3329" width="1.6640625" style="2" customWidth="1"/>
    <col min="3330" max="3330" width="17.33203125" style="2" bestFit="1" customWidth="1"/>
    <col min="3331" max="3331" width="15.77734375" style="2" customWidth="1"/>
    <col min="3332" max="3332" width="14.44140625" style="2" customWidth="1"/>
    <col min="3333" max="3333" width="16.77734375" style="2" customWidth="1"/>
    <col min="3334" max="3334" width="16.6640625" style="2" customWidth="1"/>
    <col min="3335" max="3335" width="19.88671875" style="2" customWidth="1"/>
    <col min="3336" max="3336" width="17" style="2" customWidth="1"/>
    <col min="3337" max="3337" width="1.6640625" style="2" customWidth="1"/>
    <col min="3338" max="3341" width="8.77734375" style="2"/>
    <col min="3342" max="3342" width="6.77734375" style="2" customWidth="1"/>
    <col min="3343" max="3584" width="8.77734375" style="2"/>
    <col min="3585" max="3585" width="1.6640625" style="2" customWidth="1"/>
    <col min="3586" max="3586" width="17.33203125" style="2" bestFit="1" customWidth="1"/>
    <col min="3587" max="3587" width="15.77734375" style="2" customWidth="1"/>
    <col min="3588" max="3588" width="14.44140625" style="2" customWidth="1"/>
    <col min="3589" max="3589" width="16.77734375" style="2" customWidth="1"/>
    <col min="3590" max="3590" width="16.6640625" style="2" customWidth="1"/>
    <col min="3591" max="3591" width="19.88671875" style="2" customWidth="1"/>
    <col min="3592" max="3592" width="17" style="2" customWidth="1"/>
    <col min="3593" max="3593" width="1.6640625" style="2" customWidth="1"/>
    <col min="3594" max="3597" width="8.77734375" style="2"/>
    <col min="3598" max="3598" width="6.77734375" style="2" customWidth="1"/>
    <col min="3599" max="3840" width="8.77734375" style="2"/>
    <col min="3841" max="3841" width="1.6640625" style="2" customWidth="1"/>
    <col min="3842" max="3842" width="17.33203125" style="2" bestFit="1" customWidth="1"/>
    <col min="3843" max="3843" width="15.77734375" style="2" customWidth="1"/>
    <col min="3844" max="3844" width="14.44140625" style="2" customWidth="1"/>
    <col min="3845" max="3845" width="16.77734375" style="2" customWidth="1"/>
    <col min="3846" max="3846" width="16.6640625" style="2" customWidth="1"/>
    <col min="3847" max="3847" width="19.88671875" style="2" customWidth="1"/>
    <col min="3848" max="3848" width="17" style="2" customWidth="1"/>
    <col min="3849" max="3849" width="1.6640625" style="2" customWidth="1"/>
    <col min="3850" max="3853" width="8.77734375" style="2"/>
    <col min="3854" max="3854" width="6.77734375" style="2" customWidth="1"/>
    <col min="3855" max="4096" width="8.77734375" style="2"/>
    <col min="4097" max="4097" width="1.6640625" style="2" customWidth="1"/>
    <col min="4098" max="4098" width="17.33203125" style="2" bestFit="1" customWidth="1"/>
    <col min="4099" max="4099" width="15.77734375" style="2" customWidth="1"/>
    <col min="4100" max="4100" width="14.44140625" style="2" customWidth="1"/>
    <col min="4101" max="4101" width="16.77734375" style="2" customWidth="1"/>
    <col min="4102" max="4102" width="16.6640625" style="2" customWidth="1"/>
    <col min="4103" max="4103" width="19.88671875" style="2" customWidth="1"/>
    <col min="4104" max="4104" width="17" style="2" customWidth="1"/>
    <col min="4105" max="4105" width="1.6640625" style="2" customWidth="1"/>
    <col min="4106" max="4109" width="8.77734375" style="2"/>
    <col min="4110" max="4110" width="6.77734375" style="2" customWidth="1"/>
    <col min="4111" max="4352" width="8.77734375" style="2"/>
    <col min="4353" max="4353" width="1.6640625" style="2" customWidth="1"/>
    <col min="4354" max="4354" width="17.33203125" style="2" bestFit="1" customWidth="1"/>
    <col min="4355" max="4355" width="15.77734375" style="2" customWidth="1"/>
    <col min="4356" max="4356" width="14.44140625" style="2" customWidth="1"/>
    <col min="4357" max="4357" width="16.77734375" style="2" customWidth="1"/>
    <col min="4358" max="4358" width="16.6640625" style="2" customWidth="1"/>
    <col min="4359" max="4359" width="19.88671875" style="2" customWidth="1"/>
    <col min="4360" max="4360" width="17" style="2" customWidth="1"/>
    <col min="4361" max="4361" width="1.6640625" style="2" customWidth="1"/>
    <col min="4362" max="4365" width="8.77734375" style="2"/>
    <col min="4366" max="4366" width="6.77734375" style="2" customWidth="1"/>
    <col min="4367" max="4608" width="8.77734375" style="2"/>
    <col min="4609" max="4609" width="1.6640625" style="2" customWidth="1"/>
    <col min="4610" max="4610" width="17.33203125" style="2" bestFit="1" customWidth="1"/>
    <col min="4611" max="4611" width="15.77734375" style="2" customWidth="1"/>
    <col min="4612" max="4612" width="14.44140625" style="2" customWidth="1"/>
    <col min="4613" max="4613" width="16.77734375" style="2" customWidth="1"/>
    <col min="4614" max="4614" width="16.6640625" style="2" customWidth="1"/>
    <col min="4615" max="4615" width="19.88671875" style="2" customWidth="1"/>
    <col min="4616" max="4616" width="17" style="2" customWidth="1"/>
    <col min="4617" max="4617" width="1.6640625" style="2" customWidth="1"/>
    <col min="4618" max="4621" width="8.77734375" style="2"/>
    <col min="4622" max="4622" width="6.77734375" style="2" customWidth="1"/>
    <col min="4623" max="4864" width="8.77734375" style="2"/>
    <col min="4865" max="4865" width="1.6640625" style="2" customWidth="1"/>
    <col min="4866" max="4866" width="17.33203125" style="2" bestFit="1" customWidth="1"/>
    <col min="4867" max="4867" width="15.77734375" style="2" customWidth="1"/>
    <col min="4868" max="4868" width="14.44140625" style="2" customWidth="1"/>
    <col min="4869" max="4869" width="16.77734375" style="2" customWidth="1"/>
    <col min="4870" max="4870" width="16.6640625" style="2" customWidth="1"/>
    <col min="4871" max="4871" width="19.88671875" style="2" customWidth="1"/>
    <col min="4872" max="4872" width="17" style="2" customWidth="1"/>
    <col min="4873" max="4873" width="1.6640625" style="2" customWidth="1"/>
    <col min="4874" max="4877" width="8.77734375" style="2"/>
    <col min="4878" max="4878" width="6.77734375" style="2" customWidth="1"/>
    <col min="4879" max="5120" width="8.77734375" style="2"/>
    <col min="5121" max="5121" width="1.6640625" style="2" customWidth="1"/>
    <col min="5122" max="5122" width="17.33203125" style="2" bestFit="1" customWidth="1"/>
    <col min="5123" max="5123" width="15.77734375" style="2" customWidth="1"/>
    <col min="5124" max="5124" width="14.44140625" style="2" customWidth="1"/>
    <col min="5125" max="5125" width="16.77734375" style="2" customWidth="1"/>
    <col min="5126" max="5126" width="16.6640625" style="2" customWidth="1"/>
    <col min="5127" max="5127" width="19.88671875" style="2" customWidth="1"/>
    <col min="5128" max="5128" width="17" style="2" customWidth="1"/>
    <col min="5129" max="5129" width="1.6640625" style="2" customWidth="1"/>
    <col min="5130" max="5133" width="8.77734375" style="2"/>
    <col min="5134" max="5134" width="6.77734375" style="2" customWidth="1"/>
    <col min="5135" max="5376" width="8.77734375" style="2"/>
    <col min="5377" max="5377" width="1.6640625" style="2" customWidth="1"/>
    <col min="5378" max="5378" width="17.33203125" style="2" bestFit="1" customWidth="1"/>
    <col min="5379" max="5379" width="15.77734375" style="2" customWidth="1"/>
    <col min="5380" max="5380" width="14.44140625" style="2" customWidth="1"/>
    <col min="5381" max="5381" width="16.77734375" style="2" customWidth="1"/>
    <col min="5382" max="5382" width="16.6640625" style="2" customWidth="1"/>
    <col min="5383" max="5383" width="19.88671875" style="2" customWidth="1"/>
    <col min="5384" max="5384" width="17" style="2" customWidth="1"/>
    <col min="5385" max="5385" width="1.6640625" style="2" customWidth="1"/>
    <col min="5386" max="5389" width="8.77734375" style="2"/>
    <col min="5390" max="5390" width="6.77734375" style="2" customWidth="1"/>
    <col min="5391" max="5632" width="8.77734375" style="2"/>
    <col min="5633" max="5633" width="1.6640625" style="2" customWidth="1"/>
    <col min="5634" max="5634" width="17.33203125" style="2" bestFit="1" customWidth="1"/>
    <col min="5635" max="5635" width="15.77734375" style="2" customWidth="1"/>
    <col min="5636" max="5636" width="14.44140625" style="2" customWidth="1"/>
    <col min="5637" max="5637" width="16.77734375" style="2" customWidth="1"/>
    <col min="5638" max="5638" width="16.6640625" style="2" customWidth="1"/>
    <col min="5639" max="5639" width="19.88671875" style="2" customWidth="1"/>
    <col min="5640" max="5640" width="17" style="2" customWidth="1"/>
    <col min="5641" max="5641" width="1.6640625" style="2" customWidth="1"/>
    <col min="5642" max="5645" width="8.77734375" style="2"/>
    <col min="5646" max="5646" width="6.77734375" style="2" customWidth="1"/>
    <col min="5647" max="5888" width="8.77734375" style="2"/>
    <col min="5889" max="5889" width="1.6640625" style="2" customWidth="1"/>
    <col min="5890" max="5890" width="17.33203125" style="2" bestFit="1" customWidth="1"/>
    <col min="5891" max="5891" width="15.77734375" style="2" customWidth="1"/>
    <col min="5892" max="5892" width="14.44140625" style="2" customWidth="1"/>
    <col min="5893" max="5893" width="16.77734375" style="2" customWidth="1"/>
    <col min="5894" max="5894" width="16.6640625" style="2" customWidth="1"/>
    <col min="5895" max="5895" width="19.88671875" style="2" customWidth="1"/>
    <col min="5896" max="5896" width="17" style="2" customWidth="1"/>
    <col min="5897" max="5897" width="1.6640625" style="2" customWidth="1"/>
    <col min="5898" max="5901" width="8.77734375" style="2"/>
    <col min="5902" max="5902" width="6.77734375" style="2" customWidth="1"/>
    <col min="5903" max="6144" width="8.77734375" style="2"/>
    <col min="6145" max="6145" width="1.6640625" style="2" customWidth="1"/>
    <col min="6146" max="6146" width="17.33203125" style="2" bestFit="1" customWidth="1"/>
    <col min="6147" max="6147" width="15.77734375" style="2" customWidth="1"/>
    <col min="6148" max="6148" width="14.44140625" style="2" customWidth="1"/>
    <col min="6149" max="6149" width="16.77734375" style="2" customWidth="1"/>
    <col min="6150" max="6150" width="16.6640625" style="2" customWidth="1"/>
    <col min="6151" max="6151" width="19.88671875" style="2" customWidth="1"/>
    <col min="6152" max="6152" width="17" style="2" customWidth="1"/>
    <col min="6153" max="6153" width="1.6640625" style="2" customWidth="1"/>
    <col min="6154" max="6157" width="8.77734375" style="2"/>
    <col min="6158" max="6158" width="6.77734375" style="2" customWidth="1"/>
    <col min="6159" max="6400" width="8.77734375" style="2"/>
    <col min="6401" max="6401" width="1.6640625" style="2" customWidth="1"/>
    <col min="6402" max="6402" width="17.33203125" style="2" bestFit="1" customWidth="1"/>
    <col min="6403" max="6403" width="15.77734375" style="2" customWidth="1"/>
    <col min="6404" max="6404" width="14.44140625" style="2" customWidth="1"/>
    <col min="6405" max="6405" width="16.77734375" style="2" customWidth="1"/>
    <col min="6406" max="6406" width="16.6640625" style="2" customWidth="1"/>
    <col min="6407" max="6407" width="19.88671875" style="2" customWidth="1"/>
    <col min="6408" max="6408" width="17" style="2" customWidth="1"/>
    <col min="6409" max="6409" width="1.6640625" style="2" customWidth="1"/>
    <col min="6410" max="6413" width="8.77734375" style="2"/>
    <col min="6414" max="6414" width="6.77734375" style="2" customWidth="1"/>
    <col min="6415" max="6656" width="8.77734375" style="2"/>
    <col min="6657" max="6657" width="1.6640625" style="2" customWidth="1"/>
    <col min="6658" max="6658" width="17.33203125" style="2" bestFit="1" customWidth="1"/>
    <col min="6659" max="6659" width="15.77734375" style="2" customWidth="1"/>
    <col min="6660" max="6660" width="14.44140625" style="2" customWidth="1"/>
    <col min="6661" max="6661" width="16.77734375" style="2" customWidth="1"/>
    <col min="6662" max="6662" width="16.6640625" style="2" customWidth="1"/>
    <col min="6663" max="6663" width="19.88671875" style="2" customWidth="1"/>
    <col min="6664" max="6664" width="17" style="2" customWidth="1"/>
    <col min="6665" max="6665" width="1.6640625" style="2" customWidth="1"/>
    <col min="6666" max="6669" width="8.77734375" style="2"/>
    <col min="6670" max="6670" width="6.77734375" style="2" customWidth="1"/>
    <col min="6671" max="6912" width="8.77734375" style="2"/>
    <col min="6913" max="6913" width="1.6640625" style="2" customWidth="1"/>
    <col min="6914" max="6914" width="17.33203125" style="2" bestFit="1" customWidth="1"/>
    <col min="6915" max="6915" width="15.77734375" style="2" customWidth="1"/>
    <col min="6916" max="6916" width="14.44140625" style="2" customWidth="1"/>
    <col min="6917" max="6917" width="16.77734375" style="2" customWidth="1"/>
    <col min="6918" max="6918" width="16.6640625" style="2" customWidth="1"/>
    <col min="6919" max="6919" width="19.88671875" style="2" customWidth="1"/>
    <col min="6920" max="6920" width="17" style="2" customWidth="1"/>
    <col min="6921" max="6921" width="1.6640625" style="2" customWidth="1"/>
    <col min="6922" max="6925" width="8.77734375" style="2"/>
    <col min="6926" max="6926" width="6.77734375" style="2" customWidth="1"/>
    <col min="6927" max="7168" width="8.77734375" style="2"/>
    <col min="7169" max="7169" width="1.6640625" style="2" customWidth="1"/>
    <col min="7170" max="7170" width="17.33203125" style="2" bestFit="1" customWidth="1"/>
    <col min="7171" max="7171" width="15.77734375" style="2" customWidth="1"/>
    <col min="7172" max="7172" width="14.44140625" style="2" customWidth="1"/>
    <col min="7173" max="7173" width="16.77734375" style="2" customWidth="1"/>
    <col min="7174" max="7174" width="16.6640625" style="2" customWidth="1"/>
    <col min="7175" max="7175" width="19.88671875" style="2" customWidth="1"/>
    <col min="7176" max="7176" width="17" style="2" customWidth="1"/>
    <col min="7177" max="7177" width="1.6640625" style="2" customWidth="1"/>
    <col min="7178" max="7181" width="8.77734375" style="2"/>
    <col min="7182" max="7182" width="6.77734375" style="2" customWidth="1"/>
    <col min="7183" max="7424" width="8.77734375" style="2"/>
    <col min="7425" max="7425" width="1.6640625" style="2" customWidth="1"/>
    <col min="7426" max="7426" width="17.33203125" style="2" bestFit="1" customWidth="1"/>
    <col min="7427" max="7427" width="15.77734375" style="2" customWidth="1"/>
    <col min="7428" max="7428" width="14.44140625" style="2" customWidth="1"/>
    <col min="7429" max="7429" width="16.77734375" style="2" customWidth="1"/>
    <col min="7430" max="7430" width="16.6640625" style="2" customWidth="1"/>
    <col min="7431" max="7431" width="19.88671875" style="2" customWidth="1"/>
    <col min="7432" max="7432" width="17" style="2" customWidth="1"/>
    <col min="7433" max="7433" width="1.6640625" style="2" customWidth="1"/>
    <col min="7434" max="7437" width="8.77734375" style="2"/>
    <col min="7438" max="7438" width="6.77734375" style="2" customWidth="1"/>
    <col min="7439" max="7680" width="8.77734375" style="2"/>
    <col min="7681" max="7681" width="1.6640625" style="2" customWidth="1"/>
    <col min="7682" max="7682" width="17.33203125" style="2" bestFit="1" customWidth="1"/>
    <col min="7683" max="7683" width="15.77734375" style="2" customWidth="1"/>
    <col min="7684" max="7684" width="14.44140625" style="2" customWidth="1"/>
    <col min="7685" max="7685" width="16.77734375" style="2" customWidth="1"/>
    <col min="7686" max="7686" width="16.6640625" style="2" customWidth="1"/>
    <col min="7687" max="7687" width="19.88671875" style="2" customWidth="1"/>
    <col min="7688" max="7688" width="17" style="2" customWidth="1"/>
    <col min="7689" max="7689" width="1.6640625" style="2" customWidth="1"/>
    <col min="7690" max="7693" width="8.77734375" style="2"/>
    <col min="7694" max="7694" width="6.77734375" style="2" customWidth="1"/>
    <col min="7695" max="7936" width="8.77734375" style="2"/>
    <col min="7937" max="7937" width="1.6640625" style="2" customWidth="1"/>
    <col min="7938" max="7938" width="17.33203125" style="2" bestFit="1" customWidth="1"/>
    <col min="7939" max="7939" width="15.77734375" style="2" customWidth="1"/>
    <col min="7940" max="7940" width="14.44140625" style="2" customWidth="1"/>
    <col min="7941" max="7941" width="16.77734375" style="2" customWidth="1"/>
    <col min="7942" max="7942" width="16.6640625" style="2" customWidth="1"/>
    <col min="7943" max="7943" width="19.88671875" style="2" customWidth="1"/>
    <col min="7944" max="7944" width="17" style="2" customWidth="1"/>
    <col min="7945" max="7945" width="1.6640625" style="2" customWidth="1"/>
    <col min="7946" max="7949" width="8.77734375" style="2"/>
    <col min="7950" max="7950" width="6.77734375" style="2" customWidth="1"/>
    <col min="7951" max="8192" width="8.77734375" style="2"/>
    <col min="8193" max="8193" width="1.6640625" style="2" customWidth="1"/>
    <col min="8194" max="8194" width="17.33203125" style="2" bestFit="1" customWidth="1"/>
    <col min="8195" max="8195" width="15.77734375" style="2" customWidth="1"/>
    <col min="8196" max="8196" width="14.44140625" style="2" customWidth="1"/>
    <col min="8197" max="8197" width="16.77734375" style="2" customWidth="1"/>
    <col min="8198" max="8198" width="16.6640625" style="2" customWidth="1"/>
    <col min="8199" max="8199" width="19.88671875" style="2" customWidth="1"/>
    <col min="8200" max="8200" width="17" style="2" customWidth="1"/>
    <col min="8201" max="8201" width="1.6640625" style="2" customWidth="1"/>
    <col min="8202" max="8205" width="8.77734375" style="2"/>
    <col min="8206" max="8206" width="6.77734375" style="2" customWidth="1"/>
    <col min="8207" max="8448" width="8.77734375" style="2"/>
    <col min="8449" max="8449" width="1.6640625" style="2" customWidth="1"/>
    <col min="8450" max="8450" width="17.33203125" style="2" bestFit="1" customWidth="1"/>
    <col min="8451" max="8451" width="15.77734375" style="2" customWidth="1"/>
    <col min="8452" max="8452" width="14.44140625" style="2" customWidth="1"/>
    <col min="8453" max="8453" width="16.77734375" style="2" customWidth="1"/>
    <col min="8454" max="8454" width="16.6640625" style="2" customWidth="1"/>
    <col min="8455" max="8455" width="19.88671875" style="2" customWidth="1"/>
    <col min="8456" max="8456" width="17" style="2" customWidth="1"/>
    <col min="8457" max="8457" width="1.6640625" style="2" customWidth="1"/>
    <col min="8458" max="8461" width="8.77734375" style="2"/>
    <col min="8462" max="8462" width="6.77734375" style="2" customWidth="1"/>
    <col min="8463" max="8704" width="8.77734375" style="2"/>
    <col min="8705" max="8705" width="1.6640625" style="2" customWidth="1"/>
    <col min="8706" max="8706" width="17.33203125" style="2" bestFit="1" customWidth="1"/>
    <col min="8707" max="8707" width="15.77734375" style="2" customWidth="1"/>
    <col min="8708" max="8708" width="14.44140625" style="2" customWidth="1"/>
    <col min="8709" max="8709" width="16.77734375" style="2" customWidth="1"/>
    <col min="8710" max="8710" width="16.6640625" style="2" customWidth="1"/>
    <col min="8711" max="8711" width="19.88671875" style="2" customWidth="1"/>
    <col min="8712" max="8712" width="17" style="2" customWidth="1"/>
    <col min="8713" max="8713" width="1.6640625" style="2" customWidth="1"/>
    <col min="8714" max="8717" width="8.77734375" style="2"/>
    <col min="8718" max="8718" width="6.77734375" style="2" customWidth="1"/>
    <col min="8719" max="8960" width="8.77734375" style="2"/>
    <col min="8961" max="8961" width="1.6640625" style="2" customWidth="1"/>
    <col min="8962" max="8962" width="17.33203125" style="2" bestFit="1" customWidth="1"/>
    <col min="8963" max="8963" width="15.77734375" style="2" customWidth="1"/>
    <col min="8964" max="8964" width="14.44140625" style="2" customWidth="1"/>
    <col min="8965" max="8965" width="16.77734375" style="2" customWidth="1"/>
    <col min="8966" max="8966" width="16.6640625" style="2" customWidth="1"/>
    <col min="8967" max="8967" width="19.88671875" style="2" customWidth="1"/>
    <col min="8968" max="8968" width="17" style="2" customWidth="1"/>
    <col min="8969" max="8969" width="1.6640625" style="2" customWidth="1"/>
    <col min="8970" max="8973" width="8.77734375" style="2"/>
    <col min="8974" max="8974" width="6.77734375" style="2" customWidth="1"/>
    <col min="8975" max="9216" width="8.77734375" style="2"/>
    <col min="9217" max="9217" width="1.6640625" style="2" customWidth="1"/>
    <col min="9218" max="9218" width="17.33203125" style="2" bestFit="1" customWidth="1"/>
    <col min="9219" max="9219" width="15.77734375" style="2" customWidth="1"/>
    <col min="9220" max="9220" width="14.44140625" style="2" customWidth="1"/>
    <col min="9221" max="9221" width="16.77734375" style="2" customWidth="1"/>
    <col min="9222" max="9222" width="16.6640625" style="2" customWidth="1"/>
    <col min="9223" max="9223" width="19.88671875" style="2" customWidth="1"/>
    <col min="9224" max="9224" width="17" style="2" customWidth="1"/>
    <col min="9225" max="9225" width="1.6640625" style="2" customWidth="1"/>
    <col min="9226" max="9229" width="8.77734375" style="2"/>
    <col min="9230" max="9230" width="6.77734375" style="2" customWidth="1"/>
    <col min="9231" max="9472" width="8.77734375" style="2"/>
    <col min="9473" max="9473" width="1.6640625" style="2" customWidth="1"/>
    <col min="9474" max="9474" width="17.33203125" style="2" bestFit="1" customWidth="1"/>
    <col min="9475" max="9475" width="15.77734375" style="2" customWidth="1"/>
    <col min="9476" max="9476" width="14.44140625" style="2" customWidth="1"/>
    <col min="9477" max="9477" width="16.77734375" style="2" customWidth="1"/>
    <col min="9478" max="9478" width="16.6640625" style="2" customWidth="1"/>
    <col min="9479" max="9479" width="19.88671875" style="2" customWidth="1"/>
    <col min="9480" max="9480" width="17" style="2" customWidth="1"/>
    <col min="9481" max="9481" width="1.6640625" style="2" customWidth="1"/>
    <col min="9482" max="9485" width="8.77734375" style="2"/>
    <col min="9486" max="9486" width="6.77734375" style="2" customWidth="1"/>
    <col min="9487" max="9728" width="8.77734375" style="2"/>
    <col min="9729" max="9729" width="1.6640625" style="2" customWidth="1"/>
    <col min="9730" max="9730" width="17.33203125" style="2" bestFit="1" customWidth="1"/>
    <col min="9731" max="9731" width="15.77734375" style="2" customWidth="1"/>
    <col min="9732" max="9732" width="14.44140625" style="2" customWidth="1"/>
    <col min="9733" max="9733" width="16.77734375" style="2" customWidth="1"/>
    <col min="9734" max="9734" width="16.6640625" style="2" customWidth="1"/>
    <col min="9735" max="9735" width="19.88671875" style="2" customWidth="1"/>
    <col min="9736" max="9736" width="17" style="2" customWidth="1"/>
    <col min="9737" max="9737" width="1.6640625" style="2" customWidth="1"/>
    <col min="9738" max="9741" width="8.77734375" style="2"/>
    <col min="9742" max="9742" width="6.77734375" style="2" customWidth="1"/>
    <col min="9743" max="9984" width="8.77734375" style="2"/>
    <col min="9985" max="9985" width="1.6640625" style="2" customWidth="1"/>
    <col min="9986" max="9986" width="17.33203125" style="2" bestFit="1" customWidth="1"/>
    <col min="9987" max="9987" width="15.77734375" style="2" customWidth="1"/>
    <col min="9988" max="9988" width="14.44140625" style="2" customWidth="1"/>
    <col min="9989" max="9989" width="16.77734375" style="2" customWidth="1"/>
    <col min="9990" max="9990" width="16.6640625" style="2" customWidth="1"/>
    <col min="9991" max="9991" width="19.88671875" style="2" customWidth="1"/>
    <col min="9992" max="9992" width="17" style="2" customWidth="1"/>
    <col min="9993" max="9993" width="1.6640625" style="2" customWidth="1"/>
    <col min="9994" max="9997" width="8.77734375" style="2"/>
    <col min="9998" max="9998" width="6.77734375" style="2" customWidth="1"/>
    <col min="9999" max="10240" width="8.77734375" style="2"/>
    <col min="10241" max="10241" width="1.6640625" style="2" customWidth="1"/>
    <col min="10242" max="10242" width="17.33203125" style="2" bestFit="1" customWidth="1"/>
    <col min="10243" max="10243" width="15.77734375" style="2" customWidth="1"/>
    <col min="10244" max="10244" width="14.44140625" style="2" customWidth="1"/>
    <col min="10245" max="10245" width="16.77734375" style="2" customWidth="1"/>
    <col min="10246" max="10246" width="16.6640625" style="2" customWidth="1"/>
    <col min="10247" max="10247" width="19.88671875" style="2" customWidth="1"/>
    <col min="10248" max="10248" width="17" style="2" customWidth="1"/>
    <col min="10249" max="10249" width="1.6640625" style="2" customWidth="1"/>
    <col min="10250" max="10253" width="8.77734375" style="2"/>
    <col min="10254" max="10254" width="6.77734375" style="2" customWidth="1"/>
    <col min="10255" max="10496" width="8.77734375" style="2"/>
    <col min="10497" max="10497" width="1.6640625" style="2" customWidth="1"/>
    <col min="10498" max="10498" width="17.33203125" style="2" bestFit="1" customWidth="1"/>
    <col min="10499" max="10499" width="15.77734375" style="2" customWidth="1"/>
    <col min="10500" max="10500" width="14.44140625" style="2" customWidth="1"/>
    <col min="10501" max="10501" width="16.77734375" style="2" customWidth="1"/>
    <col min="10502" max="10502" width="16.6640625" style="2" customWidth="1"/>
    <col min="10503" max="10503" width="19.88671875" style="2" customWidth="1"/>
    <col min="10504" max="10504" width="17" style="2" customWidth="1"/>
    <col min="10505" max="10505" width="1.6640625" style="2" customWidth="1"/>
    <col min="10506" max="10509" width="8.77734375" style="2"/>
    <col min="10510" max="10510" width="6.77734375" style="2" customWidth="1"/>
    <col min="10511" max="10752" width="8.77734375" style="2"/>
    <col min="10753" max="10753" width="1.6640625" style="2" customWidth="1"/>
    <col min="10754" max="10754" width="17.33203125" style="2" bestFit="1" customWidth="1"/>
    <col min="10755" max="10755" width="15.77734375" style="2" customWidth="1"/>
    <col min="10756" max="10756" width="14.44140625" style="2" customWidth="1"/>
    <col min="10757" max="10757" width="16.77734375" style="2" customWidth="1"/>
    <col min="10758" max="10758" width="16.6640625" style="2" customWidth="1"/>
    <col min="10759" max="10759" width="19.88671875" style="2" customWidth="1"/>
    <col min="10760" max="10760" width="17" style="2" customWidth="1"/>
    <col min="10761" max="10761" width="1.6640625" style="2" customWidth="1"/>
    <col min="10762" max="10765" width="8.77734375" style="2"/>
    <col min="10766" max="10766" width="6.77734375" style="2" customWidth="1"/>
    <col min="10767" max="11008" width="8.77734375" style="2"/>
    <col min="11009" max="11009" width="1.6640625" style="2" customWidth="1"/>
    <col min="11010" max="11010" width="17.33203125" style="2" bestFit="1" customWidth="1"/>
    <col min="11011" max="11011" width="15.77734375" style="2" customWidth="1"/>
    <col min="11012" max="11012" width="14.44140625" style="2" customWidth="1"/>
    <col min="11013" max="11013" width="16.77734375" style="2" customWidth="1"/>
    <col min="11014" max="11014" width="16.6640625" style="2" customWidth="1"/>
    <col min="11015" max="11015" width="19.88671875" style="2" customWidth="1"/>
    <col min="11016" max="11016" width="17" style="2" customWidth="1"/>
    <col min="11017" max="11017" width="1.6640625" style="2" customWidth="1"/>
    <col min="11018" max="11021" width="8.77734375" style="2"/>
    <col min="11022" max="11022" width="6.77734375" style="2" customWidth="1"/>
    <col min="11023" max="11264" width="8.77734375" style="2"/>
    <col min="11265" max="11265" width="1.6640625" style="2" customWidth="1"/>
    <col min="11266" max="11266" width="17.33203125" style="2" bestFit="1" customWidth="1"/>
    <col min="11267" max="11267" width="15.77734375" style="2" customWidth="1"/>
    <col min="11268" max="11268" width="14.44140625" style="2" customWidth="1"/>
    <col min="11269" max="11269" width="16.77734375" style="2" customWidth="1"/>
    <col min="11270" max="11270" width="16.6640625" style="2" customWidth="1"/>
    <col min="11271" max="11271" width="19.88671875" style="2" customWidth="1"/>
    <col min="11272" max="11272" width="17" style="2" customWidth="1"/>
    <col min="11273" max="11273" width="1.6640625" style="2" customWidth="1"/>
    <col min="11274" max="11277" width="8.77734375" style="2"/>
    <col min="11278" max="11278" width="6.77734375" style="2" customWidth="1"/>
    <col min="11279" max="11520" width="8.77734375" style="2"/>
    <col min="11521" max="11521" width="1.6640625" style="2" customWidth="1"/>
    <col min="11522" max="11522" width="17.33203125" style="2" bestFit="1" customWidth="1"/>
    <col min="11523" max="11523" width="15.77734375" style="2" customWidth="1"/>
    <col min="11524" max="11524" width="14.44140625" style="2" customWidth="1"/>
    <col min="11525" max="11525" width="16.77734375" style="2" customWidth="1"/>
    <col min="11526" max="11526" width="16.6640625" style="2" customWidth="1"/>
    <col min="11527" max="11527" width="19.88671875" style="2" customWidth="1"/>
    <col min="11528" max="11528" width="17" style="2" customWidth="1"/>
    <col min="11529" max="11529" width="1.6640625" style="2" customWidth="1"/>
    <col min="11530" max="11533" width="8.77734375" style="2"/>
    <col min="11534" max="11534" width="6.77734375" style="2" customWidth="1"/>
    <col min="11535" max="11776" width="8.77734375" style="2"/>
    <col min="11777" max="11777" width="1.6640625" style="2" customWidth="1"/>
    <col min="11778" max="11778" width="17.33203125" style="2" bestFit="1" customWidth="1"/>
    <col min="11779" max="11779" width="15.77734375" style="2" customWidth="1"/>
    <col min="11780" max="11780" width="14.44140625" style="2" customWidth="1"/>
    <col min="11781" max="11781" width="16.77734375" style="2" customWidth="1"/>
    <col min="11782" max="11782" width="16.6640625" style="2" customWidth="1"/>
    <col min="11783" max="11783" width="19.88671875" style="2" customWidth="1"/>
    <col min="11784" max="11784" width="17" style="2" customWidth="1"/>
    <col min="11785" max="11785" width="1.6640625" style="2" customWidth="1"/>
    <col min="11786" max="11789" width="8.77734375" style="2"/>
    <col min="11790" max="11790" width="6.77734375" style="2" customWidth="1"/>
    <col min="11791" max="12032" width="8.77734375" style="2"/>
    <col min="12033" max="12033" width="1.6640625" style="2" customWidth="1"/>
    <col min="12034" max="12034" width="17.33203125" style="2" bestFit="1" customWidth="1"/>
    <col min="12035" max="12035" width="15.77734375" style="2" customWidth="1"/>
    <col min="12036" max="12036" width="14.44140625" style="2" customWidth="1"/>
    <col min="12037" max="12037" width="16.77734375" style="2" customWidth="1"/>
    <col min="12038" max="12038" width="16.6640625" style="2" customWidth="1"/>
    <col min="12039" max="12039" width="19.88671875" style="2" customWidth="1"/>
    <col min="12040" max="12040" width="17" style="2" customWidth="1"/>
    <col min="12041" max="12041" width="1.6640625" style="2" customWidth="1"/>
    <col min="12042" max="12045" width="8.77734375" style="2"/>
    <col min="12046" max="12046" width="6.77734375" style="2" customWidth="1"/>
    <col min="12047" max="12288" width="8.77734375" style="2"/>
    <col min="12289" max="12289" width="1.6640625" style="2" customWidth="1"/>
    <col min="12290" max="12290" width="17.33203125" style="2" bestFit="1" customWidth="1"/>
    <col min="12291" max="12291" width="15.77734375" style="2" customWidth="1"/>
    <col min="12292" max="12292" width="14.44140625" style="2" customWidth="1"/>
    <col min="12293" max="12293" width="16.77734375" style="2" customWidth="1"/>
    <col min="12294" max="12294" width="16.6640625" style="2" customWidth="1"/>
    <col min="12295" max="12295" width="19.88671875" style="2" customWidth="1"/>
    <col min="12296" max="12296" width="17" style="2" customWidth="1"/>
    <col min="12297" max="12297" width="1.6640625" style="2" customWidth="1"/>
    <col min="12298" max="12301" width="8.77734375" style="2"/>
    <col min="12302" max="12302" width="6.77734375" style="2" customWidth="1"/>
    <col min="12303" max="12544" width="8.77734375" style="2"/>
    <col min="12545" max="12545" width="1.6640625" style="2" customWidth="1"/>
    <col min="12546" max="12546" width="17.33203125" style="2" bestFit="1" customWidth="1"/>
    <col min="12547" max="12547" width="15.77734375" style="2" customWidth="1"/>
    <col min="12548" max="12548" width="14.44140625" style="2" customWidth="1"/>
    <col min="12549" max="12549" width="16.77734375" style="2" customWidth="1"/>
    <col min="12550" max="12550" width="16.6640625" style="2" customWidth="1"/>
    <col min="12551" max="12551" width="19.88671875" style="2" customWidth="1"/>
    <col min="12552" max="12552" width="17" style="2" customWidth="1"/>
    <col min="12553" max="12553" width="1.6640625" style="2" customWidth="1"/>
    <col min="12554" max="12557" width="8.77734375" style="2"/>
    <col min="12558" max="12558" width="6.77734375" style="2" customWidth="1"/>
    <col min="12559" max="12800" width="8.77734375" style="2"/>
    <col min="12801" max="12801" width="1.6640625" style="2" customWidth="1"/>
    <col min="12802" max="12802" width="17.33203125" style="2" bestFit="1" customWidth="1"/>
    <col min="12803" max="12803" width="15.77734375" style="2" customWidth="1"/>
    <col min="12804" max="12804" width="14.44140625" style="2" customWidth="1"/>
    <col min="12805" max="12805" width="16.77734375" style="2" customWidth="1"/>
    <col min="12806" max="12806" width="16.6640625" style="2" customWidth="1"/>
    <col min="12807" max="12807" width="19.88671875" style="2" customWidth="1"/>
    <col min="12808" max="12808" width="17" style="2" customWidth="1"/>
    <col min="12809" max="12809" width="1.6640625" style="2" customWidth="1"/>
    <col min="12810" max="12813" width="8.77734375" style="2"/>
    <col min="12814" max="12814" width="6.77734375" style="2" customWidth="1"/>
    <col min="12815" max="13056" width="8.77734375" style="2"/>
    <col min="13057" max="13057" width="1.6640625" style="2" customWidth="1"/>
    <col min="13058" max="13058" width="17.33203125" style="2" bestFit="1" customWidth="1"/>
    <col min="13059" max="13059" width="15.77734375" style="2" customWidth="1"/>
    <col min="13060" max="13060" width="14.44140625" style="2" customWidth="1"/>
    <col min="13061" max="13061" width="16.77734375" style="2" customWidth="1"/>
    <col min="13062" max="13062" width="16.6640625" style="2" customWidth="1"/>
    <col min="13063" max="13063" width="19.88671875" style="2" customWidth="1"/>
    <col min="13064" max="13064" width="17" style="2" customWidth="1"/>
    <col min="13065" max="13065" width="1.6640625" style="2" customWidth="1"/>
    <col min="13066" max="13069" width="8.77734375" style="2"/>
    <col min="13070" max="13070" width="6.77734375" style="2" customWidth="1"/>
    <col min="13071" max="13312" width="8.77734375" style="2"/>
    <col min="13313" max="13313" width="1.6640625" style="2" customWidth="1"/>
    <col min="13314" max="13314" width="17.33203125" style="2" bestFit="1" customWidth="1"/>
    <col min="13315" max="13315" width="15.77734375" style="2" customWidth="1"/>
    <col min="13316" max="13316" width="14.44140625" style="2" customWidth="1"/>
    <col min="13317" max="13317" width="16.77734375" style="2" customWidth="1"/>
    <col min="13318" max="13318" width="16.6640625" style="2" customWidth="1"/>
    <col min="13319" max="13319" width="19.88671875" style="2" customWidth="1"/>
    <col min="13320" max="13320" width="17" style="2" customWidth="1"/>
    <col min="13321" max="13321" width="1.6640625" style="2" customWidth="1"/>
    <col min="13322" max="13325" width="8.77734375" style="2"/>
    <col min="13326" max="13326" width="6.77734375" style="2" customWidth="1"/>
    <col min="13327" max="13568" width="8.77734375" style="2"/>
    <col min="13569" max="13569" width="1.6640625" style="2" customWidth="1"/>
    <col min="13570" max="13570" width="17.33203125" style="2" bestFit="1" customWidth="1"/>
    <col min="13571" max="13571" width="15.77734375" style="2" customWidth="1"/>
    <col min="13572" max="13572" width="14.44140625" style="2" customWidth="1"/>
    <col min="13573" max="13573" width="16.77734375" style="2" customWidth="1"/>
    <col min="13574" max="13574" width="16.6640625" style="2" customWidth="1"/>
    <col min="13575" max="13575" width="19.88671875" style="2" customWidth="1"/>
    <col min="13576" max="13576" width="17" style="2" customWidth="1"/>
    <col min="13577" max="13577" width="1.6640625" style="2" customWidth="1"/>
    <col min="13578" max="13581" width="8.77734375" style="2"/>
    <col min="13582" max="13582" width="6.77734375" style="2" customWidth="1"/>
    <col min="13583" max="13824" width="8.77734375" style="2"/>
    <col min="13825" max="13825" width="1.6640625" style="2" customWidth="1"/>
    <col min="13826" max="13826" width="17.33203125" style="2" bestFit="1" customWidth="1"/>
    <col min="13827" max="13827" width="15.77734375" style="2" customWidth="1"/>
    <col min="13828" max="13828" width="14.44140625" style="2" customWidth="1"/>
    <col min="13829" max="13829" width="16.77734375" style="2" customWidth="1"/>
    <col min="13830" max="13830" width="16.6640625" style="2" customWidth="1"/>
    <col min="13831" max="13831" width="19.88671875" style="2" customWidth="1"/>
    <col min="13832" max="13832" width="17" style="2" customWidth="1"/>
    <col min="13833" max="13833" width="1.6640625" style="2" customWidth="1"/>
    <col min="13834" max="13837" width="8.77734375" style="2"/>
    <col min="13838" max="13838" width="6.77734375" style="2" customWidth="1"/>
    <col min="13839" max="14080" width="8.77734375" style="2"/>
    <col min="14081" max="14081" width="1.6640625" style="2" customWidth="1"/>
    <col min="14082" max="14082" width="17.33203125" style="2" bestFit="1" customWidth="1"/>
    <col min="14083" max="14083" width="15.77734375" style="2" customWidth="1"/>
    <col min="14084" max="14084" width="14.44140625" style="2" customWidth="1"/>
    <col min="14085" max="14085" width="16.77734375" style="2" customWidth="1"/>
    <col min="14086" max="14086" width="16.6640625" style="2" customWidth="1"/>
    <col min="14087" max="14087" width="19.88671875" style="2" customWidth="1"/>
    <col min="14088" max="14088" width="17" style="2" customWidth="1"/>
    <col min="14089" max="14089" width="1.6640625" style="2" customWidth="1"/>
    <col min="14090" max="14093" width="8.77734375" style="2"/>
    <col min="14094" max="14094" width="6.77734375" style="2" customWidth="1"/>
    <col min="14095" max="14336" width="8.77734375" style="2"/>
    <col min="14337" max="14337" width="1.6640625" style="2" customWidth="1"/>
    <col min="14338" max="14338" width="17.33203125" style="2" bestFit="1" customWidth="1"/>
    <col min="14339" max="14339" width="15.77734375" style="2" customWidth="1"/>
    <col min="14340" max="14340" width="14.44140625" style="2" customWidth="1"/>
    <col min="14341" max="14341" width="16.77734375" style="2" customWidth="1"/>
    <col min="14342" max="14342" width="16.6640625" style="2" customWidth="1"/>
    <col min="14343" max="14343" width="19.88671875" style="2" customWidth="1"/>
    <col min="14344" max="14344" width="17" style="2" customWidth="1"/>
    <col min="14345" max="14345" width="1.6640625" style="2" customWidth="1"/>
    <col min="14346" max="14349" width="8.77734375" style="2"/>
    <col min="14350" max="14350" width="6.77734375" style="2" customWidth="1"/>
    <col min="14351" max="14592" width="8.77734375" style="2"/>
    <col min="14593" max="14593" width="1.6640625" style="2" customWidth="1"/>
    <col min="14594" max="14594" width="17.33203125" style="2" bestFit="1" customWidth="1"/>
    <col min="14595" max="14595" width="15.77734375" style="2" customWidth="1"/>
    <col min="14596" max="14596" width="14.44140625" style="2" customWidth="1"/>
    <col min="14597" max="14597" width="16.77734375" style="2" customWidth="1"/>
    <col min="14598" max="14598" width="16.6640625" style="2" customWidth="1"/>
    <col min="14599" max="14599" width="19.88671875" style="2" customWidth="1"/>
    <col min="14600" max="14600" width="17" style="2" customWidth="1"/>
    <col min="14601" max="14601" width="1.6640625" style="2" customWidth="1"/>
    <col min="14602" max="14605" width="8.77734375" style="2"/>
    <col min="14606" max="14606" width="6.77734375" style="2" customWidth="1"/>
    <col min="14607" max="14848" width="8.77734375" style="2"/>
    <col min="14849" max="14849" width="1.6640625" style="2" customWidth="1"/>
    <col min="14850" max="14850" width="17.33203125" style="2" bestFit="1" customWidth="1"/>
    <col min="14851" max="14851" width="15.77734375" style="2" customWidth="1"/>
    <col min="14852" max="14852" width="14.44140625" style="2" customWidth="1"/>
    <col min="14853" max="14853" width="16.77734375" style="2" customWidth="1"/>
    <col min="14854" max="14854" width="16.6640625" style="2" customWidth="1"/>
    <col min="14855" max="14855" width="19.88671875" style="2" customWidth="1"/>
    <col min="14856" max="14856" width="17" style="2" customWidth="1"/>
    <col min="14857" max="14857" width="1.6640625" style="2" customWidth="1"/>
    <col min="14858" max="14861" width="8.77734375" style="2"/>
    <col min="14862" max="14862" width="6.77734375" style="2" customWidth="1"/>
    <col min="14863" max="15104" width="8.77734375" style="2"/>
    <col min="15105" max="15105" width="1.6640625" style="2" customWidth="1"/>
    <col min="15106" max="15106" width="17.33203125" style="2" bestFit="1" customWidth="1"/>
    <col min="15107" max="15107" width="15.77734375" style="2" customWidth="1"/>
    <col min="15108" max="15108" width="14.44140625" style="2" customWidth="1"/>
    <col min="15109" max="15109" width="16.77734375" style="2" customWidth="1"/>
    <col min="15110" max="15110" width="16.6640625" style="2" customWidth="1"/>
    <col min="15111" max="15111" width="19.88671875" style="2" customWidth="1"/>
    <col min="15112" max="15112" width="17" style="2" customWidth="1"/>
    <col min="15113" max="15113" width="1.6640625" style="2" customWidth="1"/>
    <col min="15114" max="15117" width="8.77734375" style="2"/>
    <col min="15118" max="15118" width="6.77734375" style="2" customWidth="1"/>
    <col min="15119" max="15360" width="8.77734375" style="2"/>
    <col min="15361" max="15361" width="1.6640625" style="2" customWidth="1"/>
    <col min="15362" max="15362" width="17.33203125" style="2" bestFit="1" customWidth="1"/>
    <col min="15363" max="15363" width="15.77734375" style="2" customWidth="1"/>
    <col min="15364" max="15364" width="14.44140625" style="2" customWidth="1"/>
    <col min="15365" max="15365" width="16.77734375" style="2" customWidth="1"/>
    <col min="15366" max="15366" width="16.6640625" style="2" customWidth="1"/>
    <col min="15367" max="15367" width="19.88671875" style="2" customWidth="1"/>
    <col min="15368" max="15368" width="17" style="2" customWidth="1"/>
    <col min="15369" max="15369" width="1.6640625" style="2" customWidth="1"/>
    <col min="15370" max="15373" width="8.77734375" style="2"/>
    <col min="15374" max="15374" width="6.77734375" style="2" customWidth="1"/>
    <col min="15375" max="15616" width="8.77734375" style="2"/>
    <col min="15617" max="15617" width="1.6640625" style="2" customWidth="1"/>
    <col min="15618" max="15618" width="17.33203125" style="2" bestFit="1" customWidth="1"/>
    <col min="15619" max="15619" width="15.77734375" style="2" customWidth="1"/>
    <col min="15620" max="15620" width="14.44140625" style="2" customWidth="1"/>
    <col min="15621" max="15621" width="16.77734375" style="2" customWidth="1"/>
    <col min="15622" max="15622" width="16.6640625" style="2" customWidth="1"/>
    <col min="15623" max="15623" width="19.88671875" style="2" customWidth="1"/>
    <col min="15624" max="15624" width="17" style="2" customWidth="1"/>
    <col min="15625" max="15625" width="1.6640625" style="2" customWidth="1"/>
    <col min="15626" max="15629" width="8.77734375" style="2"/>
    <col min="15630" max="15630" width="6.77734375" style="2" customWidth="1"/>
    <col min="15631" max="15872" width="8.77734375" style="2"/>
    <col min="15873" max="15873" width="1.6640625" style="2" customWidth="1"/>
    <col min="15874" max="15874" width="17.33203125" style="2" bestFit="1" customWidth="1"/>
    <col min="15875" max="15875" width="15.77734375" style="2" customWidth="1"/>
    <col min="15876" max="15876" width="14.44140625" style="2" customWidth="1"/>
    <col min="15877" max="15877" width="16.77734375" style="2" customWidth="1"/>
    <col min="15878" max="15878" width="16.6640625" style="2" customWidth="1"/>
    <col min="15879" max="15879" width="19.88671875" style="2" customWidth="1"/>
    <col min="15880" max="15880" width="17" style="2" customWidth="1"/>
    <col min="15881" max="15881" width="1.6640625" style="2" customWidth="1"/>
    <col min="15882" max="15885" width="8.77734375" style="2"/>
    <col min="15886" max="15886" width="6.77734375" style="2" customWidth="1"/>
    <col min="15887" max="16128" width="8.77734375" style="2"/>
    <col min="16129" max="16129" width="1.6640625" style="2" customWidth="1"/>
    <col min="16130" max="16130" width="17.33203125" style="2" bestFit="1" customWidth="1"/>
    <col min="16131" max="16131" width="15.77734375" style="2" customWidth="1"/>
    <col min="16132" max="16132" width="14.44140625" style="2" customWidth="1"/>
    <col min="16133" max="16133" width="16.77734375" style="2" customWidth="1"/>
    <col min="16134" max="16134" width="16.6640625" style="2" customWidth="1"/>
    <col min="16135" max="16135" width="19.88671875" style="2" customWidth="1"/>
    <col min="16136" max="16136" width="17" style="2" customWidth="1"/>
    <col min="16137" max="16137" width="1.6640625" style="2" customWidth="1"/>
    <col min="16138" max="16141" width="8.77734375" style="2"/>
    <col min="16142" max="16142" width="6.77734375" style="2" customWidth="1"/>
    <col min="16143" max="16384" width="8.77734375" style="2"/>
  </cols>
  <sheetData>
    <row r="1" spans="1:12" ht="9" customHeight="1" x14ac:dyDescent="0.3">
      <c r="A1" s="1"/>
      <c r="I1" s="2" t="s">
        <v>0</v>
      </c>
    </row>
    <row r="2" spans="1:12" ht="95.25" customHeight="1" x14ac:dyDescent="1">
      <c r="B2" s="3">
        <v>2026</v>
      </c>
      <c r="C2" s="4" t="s">
        <v>1</v>
      </c>
      <c r="D2" s="5"/>
      <c r="E2" s="6" t="s">
        <v>2</v>
      </c>
      <c r="F2" s="6"/>
      <c r="G2" s="6"/>
      <c r="H2" s="7"/>
    </row>
    <row r="3" spans="1:12" ht="9" customHeight="1" x14ac:dyDescent="0.3">
      <c r="B3" s="8"/>
      <c r="C3" s="9"/>
      <c r="D3" s="9"/>
      <c r="E3" s="9"/>
      <c r="F3" s="9"/>
      <c r="G3" s="9"/>
      <c r="H3" s="10"/>
    </row>
    <row r="4" spans="1:12" s="11" customFormat="1" ht="24" customHeight="1" x14ac:dyDescent="0.3">
      <c r="B4" s="12" t="s">
        <v>3</v>
      </c>
      <c r="C4" s="13" t="str">
        <f>(TEXT(C5,"dddd"))</f>
        <v>Tuesday</v>
      </c>
      <c r="D4" s="14" t="str">
        <f>TEXT(D5,"dddd")</f>
        <v>Wednesday</v>
      </c>
      <c r="E4" s="13" t="str">
        <f>TEXT(E5,"dddd")</f>
        <v>Thursday</v>
      </c>
      <c r="F4" s="14" t="str">
        <f>TEXT(F5,"dddd")</f>
        <v>Friday</v>
      </c>
      <c r="G4" s="13" t="str">
        <f>TEXT(G5,"dddd")</f>
        <v>Saturday</v>
      </c>
      <c r="H4" s="15" t="str">
        <f>(TEXT(H5,"dddd"))</f>
        <v>Sunday</v>
      </c>
      <c r="L4" s="2"/>
    </row>
    <row r="5" spans="1:12" s="16" customFormat="1" ht="24" customHeight="1" x14ac:dyDescent="0.4">
      <c r="B5" s="17">
        <f t="array" ref="B5:H5">Days+1+DATE(Calendar1Year,Calendar1MonthOption,1)-WEEKDAY(DATE(Calendar1Year,Calendar1MonthOption,1),WeekdayOption)</f>
        <v>46076</v>
      </c>
      <c r="C5" s="18">
        <v>46077</v>
      </c>
      <c r="D5" s="19">
        <v>46078</v>
      </c>
      <c r="E5" s="20">
        <v>46079</v>
      </c>
      <c r="F5" s="21">
        <v>46080</v>
      </c>
      <c r="G5" s="22">
        <v>46081</v>
      </c>
      <c r="H5" s="23">
        <v>46082</v>
      </c>
      <c r="L5" s="2"/>
    </row>
    <row r="6" spans="1:12" s="24" customFormat="1" ht="51" customHeight="1" x14ac:dyDescent="0.3">
      <c r="B6" s="25"/>
      <c r="C6" s="26"/>
      <c r="D6" s="27"/>
      <c r="E6" s="28"/>
      <c r="F6" s="29"/>
      <c r="G6" s="30"/>
      <c r="H6" s="31"/>
      <c r="L6" s="2"/>
    </row>
    <row r="7" spans="1:12" s="16" customFormat="1" ht="24" customHeight="1" x14ac:dyDescent="0.4">
      <c r="B7" s="32">
        <f t="array" ref="B7:H7">Days+8+DATE(Calendar1Year,Calendar1MonthOption,1)-WEEKDAY(DATE(Calendar1Year,Calendar1MonthOption,1),WeekdayOption)</f>
        <v>46083</v>
      </c>
      <c r="C7" s="33">
        <v>46084</v>
      </c>
      <c r="D7" s="34">
        <v>46085</v>
      </c>
      <c r="E7" s="35">
        <v>46086</v>
      </c>
      <c r="F7" s="36">
        <v>46087</v>
      </c>
      <c r="G7" s="37">
        <v>46088</v>
      </c>
      <c r="H7" s="38">
        <v>46089</v>
      </c>
    </row>
    <row r="8" spans="1:12" s="24" customFormat="1" ht="51" customHeight="1" x14ac:dyDescent="0.3">
      <c r="B8" s="39"/>
      <c r="C8" s="40" t="s">
        <v>4</v>
      </c>
      <c r="D8" s="41"/>
      <c r="E8" s="42"/>
      <c r="F8" s="41"/>
      <c r="G8" s="40" t="s">
        <v>5</v>
      </c>
      <c r="H8" s="43"/>
    </row>
    <row r="9" spans="1:12" s="16" customFormat="1" ht="24" customHeight="1" x14ac:dyDescent="0.4">
      <c r="B9" s="44">
        <f t="array" ref="B9:H9">Days+15+DATE(Calendar1Year,Calendar1MonthOption,1)-WEEKDAY(DATE(Calendar1Year,Calendar1MonthOption,1),WeekdayOption)</f>
        <v>46090</v>
      </c>
      <c r="C9" s="45">
        <v>46091</v>
      </c>
      <c r="D9" s="46">
        <v>46092</v>
      </c>
      <c r="E9" s="47">
        <v>46093</v>
      </c>
      <c r="F9" s="48">
        <v>46094</v>
      </c>
      <c r="G9" s="49">
        <v>46095</v>
      </c>
      <c r="H9" s="50">
        <v>46096</v>
      </c>
    </row>
    <row r="10" spans="1:12" s="24" customFormat="1" ht="51" customHeight="1" x14ac:dyDescent="0.3">
      <c r="B10" s="39"/>
      <c r="C10" s="51"/>
      <c r="D10" s="41"/>
      <c r="E10" s="52"/>
      <c r="F10" s="52"/>
      <c r="G10" s="52"/>
      <c r="H10" s="53"/>
    </row>
    <row r="11" spans="1:12" s="16" customFormat="1" ht="24" customHeight="1" x14ac:dyDescent="0.4">
      <c r="B11" s="54">
        <f t="array" ref="B11:H11">Days+22+DATE(Calendar1Year,Calendar1MonthOption,1)-WEEKDAY(DATE(Calendar1Year,Calendar1MonthOption,1),WeekdayOption)</f>
        <v>46097</v>
      </c>
      <c r="C11" s="55">
        <v>46098</v>
      </c>
      <c r="D11" s="56">
        <v>46099</v>
      </c>
      <c r="E11" s="57">
        <v>46100</v>
      </c>
      <c r="F11" s="58">
        <v>46101</v>
      </c>
      <c r="G11" s="59">
        <v>46102</v>
      </c>
      <c r="H11" s="60">
        <v>46103</v>
      </c>
    </row>
    <row r="12" spans="1:12" s="24" customFormat="1" ht="51" customHeight="1" x14ac:dyDescent="0.3">
      <c r="B12" s="61"/>
      <c r="C12" s="62"/>
      <c r="D12" s="63"/>
      <c r="E12" s="64" t="s">
        <v>6</v>
      </c>
      <c r="F12" s="65"/>
      <c r="G12" s="40" t="s">
        <v>7</v>
      </c>
      <c r="H12" s="66" t="s">
        <v>8</v>
      </c>
    </row>
    <row r="13" spans="1:12" s="16" customFormat="1" ht="24" customHeight="1" x14ac:dyDescent="0.4">
      <c r="B13" s="67">
        <f t="array" ref="B13:H13">Days+29+DATE(Calendar1Year,Calendar1MonthOption,1)-WEEKDAY(DATE(Calendar1Year,Calendar1MonthOption,1),WeekdayOption)</f>
        <v>46104</v>
      </c>
      <c r="C13" s="68">
        <v>46105</v>
      </c>
      <c r="D13" s="69">
        <v>46106</v>
      </c>
      <c r="E13" s="70">
        <v>46107</v>
      </c>
      <c r="F13" s="71">
        <v>46108</v>
      </c>
      <c r="G13" s="72">
        <v>46109</v>
      </c>
      <c r="H13" s="73">
        <v>46110</v>
      </c>
    </row>
    <row r="14" spans="1:12" s="24" customFormat="1" ht="51" customHeight="1" x14ac:dyDescent="0.3">
      <c r="B14" s="74"/>
      <c r="C14" s="75"/>
      <c r="D14" s="75"/>
      <c r="E14" s="76"/>
      <c r="F14" s="77" t="s">
        <v>9</v>
      </c>
      <c r="G14" s="78"/>
      <c r="H14" s="64"/>
    </row>
    <row r="15" spans="1:12" s="79" customFormat="1" ht="24" customHeight="1" x14ac:dyDescent="0.4">
      <c r="B15" s="80">
        <f t="array" ref="B15:C15">Days+36+DATE(Calendar1Year,Calendar1MonthOption,1)-WEEKDAY(DATE(Calendar1Year,Calendar1MonthOption,1),WeekdayOption)</f>
        <v>46111</v>
      </c>
      <c r="C15" s="81">
        <v>46112</v>
      </c>
      <c r="D15" s="82" t="s">
        <v>10</v>
      </c>
      <c r="E15" s="83"/>
      <c r="F15" s="83"/>
      <c r="G15" s="83"/>
      <c r="H15" s="84"/>
    </row>
    <row r="16" spans="1:12" s="24" customFormat="1" ht="51" customHeight="1" x14ac:dyDescent="0.3">
      <c r="B16" s="85"/>
      <c r="C16" s="86"/>
      <c r="D16" s="87"/>
      <c r="E16" s="87"/>
      <c r="F16" s="87"/>
      <c r="G16" s="87"/>
      <c r="H16" s="88"/>
    </row>
    <row r="17" spans="2:8" s="9" customFormat="1" ht="9" customHeight="1" x14ac:dyDescent="0.3">
      <c r="B17" s="89"/>
      <c r="C17" s="89"/>
      <c r="D17" s="90"/>
      <c r="E17" s="90"/>
      <c r="F17" s="90"/>
      <c r="G17" s="90"/>
      <c r="H17" s="90"/>
    </row>
    <row r="18" spans="2:8" ht="95.25" customHeight="1" x14ac:dyDescent="1">
      <c r="B18" s="3">
        <f>YEAR(DATE(Calendar1Year,Calendar1MonthOption+1,1))</f>
        <v>2026</v>
      </c>
      <c r="C18" s="4" t="str">
        <f>TEXT(DATE(Calendar1Year,Calendar1MonthOption+1,1),"mmmm")</f>
        <v>April</v>
      </c>
      <c r="D18" s="5"/>
      <c r="E18" s="91" t="s">
        <v>11</v>
      </c>
      <c r="F18" s="91"/>
      <c r="G18" s="91"/>
      <c r="H18" s="92"/>
    </row>
    <row r="19" spans="2:8" ht="9" customHeight="1" x14ac:dyDescent="0.3">
      <c r="B19" s="8"/>
      <c r="C19" s="9"/>
      <c r="D19" s="9"/>
      <c r="E19" s="9"/>
      <c r="F19" s="9"/>
      <c r="G19" s="9"/>
      <c r="H19" s="10"/>
    </row>
    <row r="20" spans="2:8" s="11" customFormat="1" ht="24" customHeight="1" x14ac:dyDescent="0.3">
      <c r="B20" s="12" t="str">
        <f t="shared" ref="B20:H20" si="0">TEXT(B21,"dddd")</f>
        <v>Monday</v>
      </c>
      <c r="C20" s="13" t="str">
        <f t="shared" si="0"/>
        <v>Tuesday</v>
      </c>
      <c r="D20" s="14" t="str">
        <f t="shared" si="0"/>
        <v>Wednesday</v>
      </c>
      <c r="E20" s="13" t="str">
        <f t="shared" si="0"/>
        <v>Thursday</v>
      </c>
      <c r="F20" s="14" t="str">
        <f t="shared" si="0"/>
        <v>Friday</v>
      </c>
      <c r="G20" s="13" t="str">
        <f t="shared" si="0"/>
        <v>Saturday</v>
      </c>
      <c r="H20" s="15" t="str">
        <f t="shared" si="0"/>
        <v>Sunday</v>
      </c>
    </row>
    <row r="21" spans="2:8" s="79" customFormat="1" ht="24" customHeight="1" x14ac:dyDescent="0.4">
      <c r="B21" s="93">
        <f t="array" ref="B21:H21">Days+1+DATE(Calendar2Year,Calendar2MonthOption,1)-WEEKDAY(DATE(Calendar2Year,Calendar2MonthOption,1),WeekdayOption)</f>
        <v>46111</v>
      </c>
      <c r="C21" s="94">
        <v>46112</v>
      </c>
      <c r="D21" s="94">
        <v>46113</v>
      </c>
      <c r="E21" s="94">
        <v>46114</v>
      </c>
      <c r="F21" s="95">
        <v>46115</v>
      </c>
      <c r="G21" s="96">
        <v>46116</v>
      </c>
      <c r="H21" s="23">
        <v>46117</v>
      </c>
    </row>
    <row r="22" spans="2:8" s="24" customFormat="1" ht="51" customHeight="1" x14ac:dyDescent="0.3">
      <c r="B22" s="97"/>
      <c r="C22" s="75"/>
      <c r="D22" s="75"/>
      <c r="E22" s="98"/>
      <c r="F22" s="99" t="s">
        <v>12</v>
      </c>
      <c r="G22" s="100"/>
      <c r="H22" s="101" t="s">
        <v>13</v>
      </c>
    </row>
    <row r="23" spans="2:8" s="79" customFormat="1" ht="24" customHeight="1" x14ac:dyDescent="0.4">
      <c r="B23" s="102">
        <f t="array" ref="B23:H23">Days+8+DATE(Calendar2Year,Calendar2MonthOption,1)-WEEKDAY(DATE(Calendar2Year,Calendar2MonthOption,1),WeekdayOption)</f>
        <v>46118</v>
      </c>
      <c r="C23" s="103">
        <v>46119</v>
      </c>
      <c r="D23" s="103">
        <v>46120</v>
      </c>
      <c r="E23" s="103">
        <v>46121</v>
      </c>
      <c r="F23" s="103">
        <v>46122</v>
      </c>
      <c r="G23" s="104">
        <v>46123</v>
      </c>
      <c r="H23" s="38">
        <v>46124</v>
      </c>
    </row>
    <row r="24" spans="2:8" s="24" customFormat="1" ht="51" customHeight="1" x14ac:dyDescent="0.3">
      <c r="B24" s="105"/>
      <c r="C24" s="99"/>
      <c r="D24" s="75"/>
      <c r="E24" s="75"/>
      <c r="F24" s="75"/>
      <c r="G24" s="40" t="s">
        <v>5</v>
      </c>
      <c r="H24" s="43"/>
    </row>
    <row r="25" spans="2:8" s="79" customFormat="1" ht="24" customHeight="1" x14ac:dyDescent="0.4">
      <c r="B25" s="106">
        <f t="array" ref="B25:H25">Days+15+DATE(Calendar2Year,Calendar2MonthOption,1)-WEEKDAY(DATE(Calendar2Year,Calendar2MonthOption,1),WeekdayOption)</f>
        <v>46125</v>
      </c>
      <c r="C25" s="104">
        <v>46126</v>
      </c>
      <c r="D25" s="103">
        <v>46127</v>
      </c>
      <c r="E25" s="107">
        <v>46128</v>
      </c>
      <c r="F25" s="108">
        <v>46129</v>
      </c>
      <c r="G25" s="103">
        <v>46130</v>
      </c>
      <c r="H25" s="38">
        <v>46131</v>
      </c>
    </row>
    <row r="26" spans="2:8" s="24" customFormat="1" ht="51" customHeight="1" x14ac:dyDescent="0.3">
      <c r="B26" s="109"/>
      <c r="C26" s="110" t="s">
        <v>14</v>
      </c>
      <c r="D26" s="111"/>
      <c r="E26" s="98"/>
      <c r="F26" s="112"/>
      <c r="G26" s="111"/>
      <c r="H26" s="31"/>
    </row>
    <row r="27" spans="2:8" s="79" customFormat="1" ht="24" customHeight="1" x14ac:dyDescent="0.4">
      <c r="B27" s="113">
        <f t="array" ref="B27:H27">Days+22+DATE(Calendar2Year,Calendar2MonthOption,1)-WEEKDAY(DATE(Calendar2Year,Calendar2MonthOption,1),WeekdayOption)</f>
        <v>46132</v>
      </c>
      <c r="C27" s="103">
        <v>46133</v>
      </c>
      <c r="D27" s="103">
        <v>46134</v>
      </c>
      <c r="E27" s="103">
        <v>46135</v>
      </c>
      <c r="F27" s="103">
        <v>46136</v>
      </c>
      <c r="G27" s="103">
        <v>46137</v>
      </c>
      <c r="H27" s="38">
        <v>46138</v>
      </c>
    </row>
    <row r="28" spans="2:8" s="24" customFormat="1" ht="62.1" customHeight="1" x14ac:dyDescent="0.3">
      <c r="B28" s="114"/>
      <c r="C28" s="115"/>
      <c r="D28" s="111" t="s">
        <v>15</v>
      </c>
      <c r="E28" s="111"/>
      <c r="F28" s="116"/>
      <c r="G28" s="40" t="s">
        <v>16</v>
      </c>
      <c r="H28" s="117"/>
    </row>
    <row r="29" spans="2:8" s="79" customFormat="1" ht="24" customHeight="1" x14ac:dyDescent="0.4">
      <c r="B29" s="113">
        <f t="array" ref="B29:H29">Days+29+DATE(Calendar2Year,Calendar2MonthOption,1)-WEEKDAY(DATE(Calendar2Year,Calendar2MonthOption,1),WeekdayOption)</f>
        <v>46139</v>
      </c>
      <c r="C29" s="103">
        <v>46140</v>
      </c>
      <c r="D29" s="103">
        <v>46141</v>
      </c>
      <c r="E29" s="103">
        <v>46142</v>
      </c>
      <c r="F29" s="118">
        <v>46143</v>
      </c>
      <c r="G29" s="118">
        <v>46144</v>
      </c>
      <c r="H29" s="119">
        <v>46145</v>
      </c>
    </row>
    <row r="30" spans="2:8" s="24" customFormat="1" ht="51" customHeight="1" x14ac:dyDescent="0.3">
      <c r="B30" s="114"/>
      <c r="C30" s="111"/>
      <c r="D30" s="111"/>
      <c r="E30" s="111"/>
      <c r="F30" s="111"/>
      <c r="G30" s="40"/>
      <c r="H30" s="120"/>
    </row>
    <row r="31" spans="2:8" s="79" customFormat="1" ht="22.35" customHeight="1" x14ac:dyDescent="0.4">
      <c r="B31" s="93">
        <f t="array" ref="B31:C31">Days+36+DATE(Calendar2Year,Calendar2MonthOption,1)-WEEKDAY(DATE(Calendar2Year,Calendar2MonthOption,1),WeekdayOption)</f>
        <v>46146</v>
      </c>
      <c r="C31" s="121">
        <v>46147</v>
      </c>
      <c r="D31" s="122"/>
      <c r="E31" s="122"/>
      <c r="F31" s="122"/>
      <c r="G31" s="122"/>
      <c r="H31" s="123"/>
    </row>
    <row r="32" spans="2:8" s="24" customFormat="1" ht="57.6" customHeight="1" x14ac:dyDescent="0.3">
      <c r="B32" s="124"/>
      <c r="C32" s="125"/>
      <c r="D32" s="126"/>
      <c r="E32" s="126"/>
      <c r="F32" s="126"/>
      <c r="G32" s="126"/>
      <c r="H32" s="127"/>
    </row>
    <row r="33" spans="2:8" s="9" customFormat="1" ht="5.4" customHeight="1" x14ac:dyDescent="0.3">
      <c r="B33" s="89"/>
      <c r="C33" s="89"/>
      <c r="D33" s="90"/>
      <c r="E33" s="90"/>
      <c r="F33" s="90"/>
      <c r="G33" s="90"/>
      <c r="H33" s="90"/>
    </row>
    <row r="34" spans="2:8" ht="95.25" customHeight="1" x14ac:dyDescent="1">
      <c r="B34" s="3">
        <f>YEAR(DATE(Calendar1Year,Calendar1MonthOption+1,1))</f>
        <v>2026</v>
      </c>
      <c r="C34" s="4" t="s">
        <v>17</v>
      </c>
      <c r="D34" s="5"/>
      <c r="E34" s="6" t="s">
        <v>18</v>
      </c>
      <c r="F34" s="6"/>
      <c r="G34" s="6"/>
      <c r="H34" s="7"/>
    </row>
    <row r="35" spans="2:8" ht="9" customHeight="1" x14ac:dyDescent="0.3">
      <c r="B35" s="8"/>
      <c r="C35" s="9"/>
      <c r="D35" s="9"/>
      <c r="E35" s="9"/>
      <c r="F35" s="9"/>
      <c r="G35" s="9"/>
      <c r="H35" s="10"/>
    </row>
    <row r="36" spans="2:8" s="11" customFormat="1" ht="24" customHeight="1" x14ac:dyDescent="0.3">
      <c r="B36" s="12" t="str">
        <f t="shared" ref="B36:H36" si="1">TEXT(B37,"dddd")</f>
        <v>Monday</v>
      </c>
      <c r="C36" s="13" t="str">
        <f t="shared" si="1"/>
        <v>Tuesday</v>
      </c>
      <c r="D36" s="14" t="str">
        <f t="shared" si="1"/>
        <v>Wednesday</v>
      </c>
      <c r="E36" s="13" t="str">
        <f t="shared" si="1"/>
        <v>Thursday</v>
      </c>
      <c r="F36" s="14" t="str">
        <f t="shared" si="1"/>
        <v>Friday</v>
      </c>
      <c r="G36" s="13" t="str">
        <f t="shared" si="1"/>
        <v>Saturday</v>
      </c>
      <c r="H36" s="15" t="str">
        <f t="shared" si="1"/>
        <v>Sunday</v>
      </c>
    </row>
    <row r="37" spans="2:8" s="16" customFormat="1" ht="24" customHeight="1" x14ac:dyDescent="0.4">
      <c r="B37" s="93">
        <f t="array" ref="B37:H37">Days+1+DATE(Calendar3Year,Calendar3MonthOption,1)-WEEKDAY(DATE(Calendar3Year,Calendar3MonthOption,1),WeekdayOption)</f>
        <v>46139</v>
      </c>
      <c r="C37" s="121">
        <v>46140</v>
      </c>
      <c r="D37" s="121">
        <v>46141</v>
      </c>
      <c r="E37" s="95">
        <v>46142</v>
      </c>
      <c r="F37" s="94">
        <v>46143</v>
      </c>
      <c r="G37" s="94">
        <v>46144</v>
      </c>
      <c r="H37" s="23">
        <v>46145</v>
      </c>
    </row>
    <row r="38" spans="2:8" s="24" customFormat="1" ht="51" customHeight="1" x14ac:dyDescent="0.3">
      <c r="B38" s="128"/>
      <c r="C38" s="129"/>
      <c r="D38" s="129"/>
      <c r="E38" s="130"/>
      <c r="F38" s="130" t="s">
        <v>19</v>
      </c>
      <c r="G38" s="131"/>
      <c r="H38" s="101"/>
    </row>
    <row r="39" spans="2:8" s="16" customFormat="1" ht="24" customHeight="1" x14ac:dyDescent="0.4">
      <c r="B39" s="113">
        <f t="array" ref="B39:H39">Days+8+DATE(Calendar3Year,Calendar3MonthOption,1)-WEEKDAY(DATE(Calendar3Year,Calendar3MonthOption,1),WeekdayOption)</f>
        <v>46146</v>
      </c>
      <c r="C39" s="103">
        <v>46147</v>
      </c>
      <c r="D39" s="107">
        <v>46148</v>
      </c>
      <c r="E39" s="103">
        <v>46149</v>
      </c>
      <c r="F39" s="103">
        <v>46150</v>
      </c>
      <c r="G39" s="104">
        <v>46151</v>
      </c>
      <c r="H39" s="38">
        <v>46152</v>
      </c>
    </row>
    <row r="40" spans="2:8" s="24" customFormat="1" ht="51" customHeight="1" x14ac:dyDescent="0.3">
      <c r="B40" s="128"/>
      <c r="C40" s="129"/>
      <c r="D40" s="99"/>
      <c r="E40" s="130"/>
      <c r="F40" s="129"/>
      <c r="G40" s="40" t="s">
        <v>5</v>
      </c>
      <c r="H40" s="132"/>
    </row>
    <row r="41" spans="2:8" s="16" customFormat="1" ht="24" customHeight="1" x14ac:dyDescent="0.4">
      <c r="B41" s="113">
        <f t="array" ref="B41:H41">Days+15+DATE(Calendar3Year,Calendar3MonthOption,1)-WEEKDAY(DATE(Calendar3Year,Calendar3MonthOption,1),WeekdayOption)</f>
        <v>46153</v>
      </c>
      <c r="C41" s="103">
        <v>46154</v>
      </c>
      <c r="D41" s="103">
        <v>46155</v>
      </c>
      <c r="E41" s="103">
        <v>46156</v>
      </c>
      <c r="F41" s="103">
        <v>46157</v>
      </c>
      <c r="G41" s="107">
        <v>46158</v>
      </c>
      <c r="H41" s="38">
        <v>46159</v>
      </c>
    </row>
    <row r="42" spans="2:8" s="24" customFormat="1" ht="51" customHeight="1" x14ac:dyDescent="0.3">
      <c r="B42" s="133" t="s">
        <v>20</v>
      </c>
      <c r="C42" s="129"/>
      <c r="D42" s="129"/>
      <c r="E42" s="129"/>
      <c r="F42" s="129"/>
      <c r="G42" s="131"/>
      <c r="H42" s="31"/>
    </row>
    <row r="43" spans="2:8" s="16" customFormat="1" ht="24" customHeight="1" x14ac:dyDescent="0.4">
      <c r="B43" s="113">
        <f t="array" ref="B43:H43">Days+22+DATE(Calendar3Year,Calendar3MonthOption,1)-WEEKDAY(DATE(Calendar3Year,Calendar3MonthOption,1),WeekdayOption)</f>
        <v>46160</v>
      </c>
      <c r="C43" s="103">
        <v>46161</v>
      </c>
      <c r="D43" s="103">
        <v>46162</v>
      </c>
      <c r="E43" s="103">
        <v>46163</v>
      </c>
      <c r="F43" s="103">
        <v>46164</v>
      </c>
      <c r="G43" s="104">
        <v>46165</v>
      </c>
      <c r="H43" s="38">
        <v>46166</v>
      </c>
    </row>
    <row r="44" spans="2:8" s="24" customFormat="1" ht="51" customHeight="1" x14ac:dyDescent="0.3">
      <c r="B44" s="128"/>
      <c r="C44" s="129"/>
      <c r="D44" s="129"/>
      <c r="E44" s="129"/>
      <c r="F44" s="129"/>
      <c r="G44" s="40" t="s">
        <v>21</v>
      </c>
      <c r="H44" s="31"/>
    </row>
    <row r="45" spans="2:8" s="16" customFormat="1" ht="24" customHeight="1" x14ac:dyDescent="0.4">
      <c r="B45" s="113">
        <f t="array" ref="B45:H45">Days+29+DATE(Calendar3Year,Calendar3MonthOption,1)-WEEKDAY(DATE(Calendar3Year,Calendar3MonthOption,1),WeekdayOption)</f>
        <v>46167</v>
      </c>
      <c r="C45" s="103">
        <v>46168</v>
      </c>
      <c r="D45" s="104">
        <v>46169</v>
      </c>
      <c r="E45" s="103">
        <v>46170</v>
      </c>
      <c r="F45" s="103">
        <v>46171</v>
      </c>
      <c r="G45" s="103">
        <v>46172</v>
      </c>
      <c r="H45" s="119">
        <v>46173</v>
      </c>
    </row>
    <row r="46" spans="2:8" s="24" customFormat="1" ht="51" customHeight="1" x14ac:dyDescent="0.3">
      <c r="B46" s="128"/>
      <c r="C46" s="129"/>
      <c r="D46" s="134" t="s">
        <v>22</v>
      </c>
      <c r="E46" s="129"/>
      <c r="F46" s="129"/>
      <c r="G46" s="129"/>
      <c r="H46" s="31"/>
    </row>
    <row r="47" spans="2:8" s="16" customFormat="1" ht="24" customHeight="1" x14ac:dyDescent="0.4">
      <c r="B47" s="93">
        <f t="array" ref="B47:C47">Days+36+DATE(Calendar3Year,Calendar3MonthOption,1)-WEEKDAY(DATE(Calendar3Year,Calendar3MonthOption,1),WeekdayOption)</f>
        <v>46174</v>
      </c>
      <c r="C47" s="121">
        <v>46175</v>
      </c>
      <c r="D47" s="135"/>
      <c r="E47" s="136"/>
      <c r="F47" s="136"/>
      <c r="G47" s="136"/>
      <c r="H47" s="137"/>
    </row>
    <row r="48" spans="2:8" s="24" customFormat="1" ht="57" customHeight="1" x14ac:dyDescent="0.3">
      <c r="B48" s="138"/>
      <c r="C48" s="139"/>
      <c r="D48" s="126"/>
      <c r="E48" s="126"/>
      <c r="F48" s="126"/>
      <c r="G48" s="126"/>
      <c r="H48" s="127"/>
    </row>
    <row r="49" spans="2:8" s="9" customFormat="1" ht="9" customHeight="1" x14ac:dyDescent="0.3">
      <c r="B49" s="89"/>
      <c r="C49" s="89"/>
      <c r="D49" s="90"/>
      <c r="E49" s="90"/>
      <c r="F49" s="90"/>
      <c r="G49" s="90"/>
      <c r="H49" s="90"/>
    </row>
    <row r="50" spans="2:8" ht="95.25" customHeight="1" x14ac:dyDescent="1">
      <c r="B50" s="3">
        <f>YEAR(DATE(Calendar1Year,Calendar1MonthOption+1,1))</f>
        <v>2026</v>
      </c>
      <c r="C50" s="4" t="s">
        <v>23</v>
      </c>
      <c r="D50" s="5"/>
      <c r="E50" s="6" t="s">
        <v>24</v>
      </c>
      <c r="F50" s="6"/>
      <c r="G50" s="6"/>
      <c r="H50" s="7"/>
    </row>
    <row r="51" spans="2:8" ht="9" customHeight="1" x14ac:dyDescent="0.3">
      <c r="B51" s="8"/>
      <c r="C51" s="9"/>
      <c r="D51" s="9"/>
      <c r="E51" s="9"/>
      <c r="F51" s="9"/>
      <c r="G51" s="9"/>
      <c r="H51" s="10"/>
    </row>
    <row r="52" spans="2:8" s="11" customFormat="1" ht="24" customHeight="1" x14ac:dyDescent="0.3">
      <c r="B52" s="12" t="str">
        <f t="shared" ref="B52:H52" si="2">TEXT(B53,"dddd")</f>
        <v>Monday</v>
      </c>
      <c r="C52" s="13" t="str">
        <f t="shared" si="2"/>
        <v>Tuesday</v>
      </c>
      <c r="D52" s="14" t="str">
        <f t="shared" si="2"/>
        <v>Wednesday</v>
      </c>
      <c r="E52" s="13" t="str">
        <f t="shared" si="2"/>
        <v>Thursday</v>
      </c>
      <c r="F52" s="14" t="str">
        <f t="shared" si="2"/>
        <v>Friday</v>
      </c>
      <c r="G52" s="13" t="str">
        <f t="shared" si="2"/>
        <v>Saturday</v>
      </c>
      <c r="H52" s="15" t="str">
        <f t="shared" si="2"/>
        <v>Sunday</v>
      </c>
    </row>
    <row r="53" spans="2:8" s="79" customFormat="1" ht="24" customHeight="1" x14ac:dyDescent="0.4">
      <c r="B53" s="102">
        <f t="array" ref="B53:H53">Days+1+DATE(Calendar4Year,Calendar4MonthOption,1)-WEEKDAY(DATE(Calendar4Year,Calendar4MonthOption,1),WeekdayOption)</f>
        <v>46174</v>
      </c>
      <c r="C53" s="94">
        <v>46175</v>
      </c>
      <c r="D53" s="94">
        <v>46176</v>
      </c>
      <c r="E53" s="94">
        <v>46177</v>
      </c>
      <c r="F53" s="94">
        <v>46178</v>
      </c>
      <c r="G53" s="94">
        <v>46179</v>
      </c>
      <c r="H53" s="23">
        <v>46180</v>
      </c>
    </row>
    <row r="54" spans="2:8" s="24" customFormat="1" ht="51" customHeight="1" x14ac:dyDescent="0.3">
      <c r="B54" s="128"/>
      <c r="C54" s="140" t="s">
        <v>25</v>
      </c>
      <c r="D54" s="129"/>
      <c r="E54" s="141"/>
      <c r="F54" s="140"/>
      <c r="G54" s="129"/>
      <c r="H54" s="142"/>
    </row>
    <row r="55" spans="2:8" s="79" customFormat="1" ht="24" customHeight="1" x14ac:dyDescent="0.4">
      <c r="B55" s="113">
        <f t="array" ref="B55:H55">Days+8+DATE(Calendar4Year,Calendar4MonthOption,1)-WEEKDAY(DATE(Calendar4Year,Calendar4MonthOption,1),WeekdayOption)</f>
        <v>46181</v>
      </c>
      <c r="C55" s="103">
        <v>46182</v>
      </c>
      <c r="D55" s="103">
        <v>46183</v>
      </c>
      <c r="E55" s="103">
        <v>46184</v>
      </c>
      <c r="F55" s="103">
        <v>46185</v>
      </c>
      <c r="G55" s="107">
        <v>46186</v>
      </c>
      <c r="H55" s="38">
        <v>46187</v>
      </c>
    </row>
    <row r="56" spans="2:8" s="24" customFormat="1" ht="51" customHeight="1" x14ac:dyDescent="0.3">
      <c r="B56" s="140"/>
      <c r="C56" s="129"/>
      <c r="D56" s="129"/>
      <c r="E56" s="142"/>
      <c r="F56" s="141" t="s">
        <v>26</v>
      </c>
      <c r="G56" s="143" t="s">
        <v>27</v>
      </c>
      <c r="H56" s="142"/>
    </row>
    <row r="57" spans="2:8" s="79" customFormat="1" ht="24" customHeight="1" x14ac:dyDescent="0.4">
      <c r="B57" s="113">
        <f t="array" ref="B57:H57">Days+15+DATE(Calendar4Year,Calendar4MonthOption,1)-WEEKDAY(DATE(Calendar4Year,Calendar4MonthOption,1),WeekdayOption)</f>
        <v>46188</v>
      </c>
      <c r="C57" s="103">
        <v>46189</v>
      </c>
      <c r="D57" s="103">
        <v>46190</v>
      </c>
      <c r="E57" s="103">
        <v>46191</v>
      </c>
      <c r="F57" s="103">
        <v>46192</v>
      </c>
      <c r="G57" s="108">
        <v>46193</v>
      </c>
      <c r="H57" s="38">
        <v>46194</v>
      </c>
    </row>
    <row r="58" spans="2:8" s="24" customFormat="1" ht="51" customHeight="1" x14ac:dyDescent="0.3">
      <c r="B58" s="128"/>
      <c r="C58" s="140"/>
      <c r="D58" s="129"/>
      <c r="E58" s="142"/>
      <c r="F58" s="141"/>
      <c r="G58" s="144"/>
      <c r="H58" s="143"/>
    </row>
    <row r="59" spans="2:8" s="79" customFormat="1" ht="24" customHeight="1" x14ac:dyDescent="0.4">
      <c r="B59" s="113">
        <f t="array" ref="B59:H59">Days+22+DATE(Calendar4Year,Calendar4MonthOption,1)-WEEKDAY(DATE(Calendar4Year,Calendar4MonthOption,1),WeekdayOption)</f>
        <v>46195</v>
      </c>
      <c r="C59" s="103">
        <v>46196</v>
      </c>
      <c r="D59" s="103">
        <v>46197</v>
      </c>
      <c r="E59" s="103">
        <v>46198</v>
      </c>
      <c r="F59" s="104">
        <v>46199</v>
      </c>
      <c r="G59" s="107">
        <v>46200</v>
      </c>
      <c r="H59" s="38">
        <v>46201</v>
      </c>
    </row>
    <row r="60" spans="2:8" s="24" customFormat="1" ht="63" customHeight="1" x14ac:dyDescent="0.3">
      <c r="B60" s="145"/>
      <c r="C60" s="129"/>
      <c r="D60" s="131"/>
      <c r="E60" s="131"/>
      <c r="F60" s="146" t="s">
        <v>28</v>
      </c>
      <c r="G60" s="147" t="s">
        <v>29</v>
      </c>
      <c r="H60" s="142"/>
    </row>
    <row r="61" spans="2:8" s="79" customFormat="1" ht="24" customHeight="1" x14ac:dyDescent="0.4">
      <c r="B61" s="113">
        <f t="array" ref="B61:H61">Days+29+DATE(Calendar4Year,Calendar4MonthOption,1)-WEEKDAY(DATE(Calendar4Year,Calendar4MonthOption,1),WeekdayOption)</f>
        <v>46202</v>
      </c>
      <c r="C61" s="103">
        <v>46203</v>
      </c>
      <c r="D61" s="148">
        <v>46204</v>
      </c>
      <c r="E61" s="148">
        <v>46205</v>
      </c>
      <c r="F61" s="148">
        <v>46206</v>
      </c>
      <c r="G61" s="148">
        <v>46207</v>
      </c>
      <c r="H61" s="149">
        <v>46208</v>
      </c>
    </row>
    <row r="62" spans="2:8" s="24" customFormat="1" ht="51" customHeight="1" x14ac:dyDescent="0.3">
      <c r="B62" s="145"/>
      <c r="C62" s="131"/>
      <c r="D62" s="150"/>
      <c r="E62" s="131"/>
      <c r="F62" s="131"/>
      <c r="G62" s="151"/>
      <c r="H62" s="31"/>
    </row>
    <row r="63" spans="2:8" s="79" customFormat="1" ht="34.5" customHeight="1" x14ac:dyDescent="0.4">
      <c r="B63" s="102">
        <f t="array" ref="B63:C63">Days+36+DATE(Calendar4Year,Calendar4MonthOption,1)-WEEKDAY(DATE(Calendar4Year,Calendar4MonthOption,1),WeekdayOption)</f>
        <v>46209</v>
      </c>
      <c r="C63" s="121">
        <v>46210</v>
      </c>
      <c r="D63" s="152" t="s">
        <v>30</v>
      </c>
      <c r="E63" s="153"/>
      <c r="F63" s="153"/>
      <c r="G63" s="153"/>
      <c r="H63" s="154"/>
    </row>
    <row r="64" spans="2:8" s="24" customFormat="1" ht="91.5" customHeight="1" x14ac:dyDescent="0.3">
      <c r="B64" s="155"/>
      <c r="C64" s="139"/>
      <c r="D64" s="126"/>
      <c r="E64" s="126"/>
      <c r="F64" s="126"/>
      <c r="G64" s="126"/>
      <c r="H64" s="127"/>
    </row>
    <row r="65" spans="2:8" s="9" customFormat="1" ht="9" customHeight="1" x14ac:dyDescent="0.3">
      <c r="B65" s="89"/>
      <c r="C65" s="89"/>
      <c r="D65" s="156"/>
      <c r="E65" s="90"/>
      <c r="F65" s="90"/>
      <c r="G65" s="90"/>
      <c r="H65" s="90"/>
    </row>
    <row r="66" spans="2:8" ht="97.65" customHeight="1" x14ac:dyDescent="1">
      <c r="B66" s="3">
        <f>YEAR(DATE(Calendar1Year,Calendar1MonthOption+1,1))</f>
        <v>2026</v>
      </c>
      <c r="C66" s="4" t="s">
        <v>31</v>
      </c>
      <c r="D66" s="5"/>
      <c r="E66" s="6" t="s">
        <v>32</v>
      </c>
      <c r="F66" s="6"/>
      <c r="G66" s="6"/>
      <c r="H66" s="7"/>
    </row>
    <row r="67" spans="2:8" ht="9" customHeight="1" x14ac:dyDescent="0.3">
      <c r="B67" s="8"/>
      <c r="C67" s="9"/>
      <c r="D67" s="9"/>
      <c r="E67" s="9"/>
      <c r="F67" s="9"/>
      <c r="G67" s="9"/>
      <c r="H67" s="10"/>
    </row>
    <row r="68" spans="2:8" s="11" customFormat="1" ht="24" customHeight="1" x14ac:dyDescent="0.3">
      <c r="B68" s="12" t="str">
        <f t="shared" ref="B68:H68" si="3">TEXT(B69,"dddd")</f>
        <v>Monday</v>
      </c>
      <c r="C68" s="13" t="str">
        <f t="shared" si="3"/>
        <v>Tuesday</v>
      </c>
      <c r="D68" s="14" t="str">
        <f t="shared" si="3"/>
        <v>Wednesday</v>
      </c>
      <c r="E68" s="13" t="str">
        <f t="shared" si="3"/>
        <v>Thursday</v>
      </c>
      <c r="F68" s="14" t="str">
        <f t="shared" si="3"/>
        <v>Friday</v>
      </c>
      <c r="G68" s="13" t="str">
        <f t="shared" si="3"/>
        <v>Saturday</v>
      </c>
      <c r="H68" s="15" t="str">
        <f t="shared" si="3"/>
        <v>Sunday</v>
      </c>
    </row>
    <row r="69" spans="2:8" s="79" customFormat="1" ht="24" customHeight="1" x14ac:dyDescent="0.4">
      <c r="B69" s="93">
        <f t="array" ref="B69:H69">Days+1+DATE(Calendar5Year,Calendar5MonthOption,1)-WEEKDAY(DATE(Calendar5Year,Calendar5MonthOption,1),WeekdayOption)</f>
        <v>46202</v>
      </c>
      <c r="C69" s="94">
        <v>46203</v>
      </c>
      <c r="D69" s="94">
        <v>46204</v>
      </c>
      <c r="E69" s="94">
        <v>46205</v>
      </c>
      <c r="F69" s="94">
        <v>46206</v>
      </c>
      <c r="G69" s="94">
        <v>46207</v>
      </c>
      <c r="H69" s="23">
        <v>46208</v>
      </c>
    </row>
    <row r="70" spans="2:8" s="24" customFormat="1" ht="43.5" customHeight="1" x14ac:dyDescent="0.3">
      <c r="B70" s="128"/>
      <c r="C70" s="131"/>
      <c r="D70" s="131"/>
      <c r="E70" s="131"/>
      <c r="F70" s="131"/>
      <c r="G70" s="131" t="s">
        <v>33</v>
      </c>
      <c r="H70" s="146"/>
    </row>
    <row r="71" spans="2:8" s="79" customFormat="1" ht="24" customHeight="1" x14ac:dyDescent="0.4">
      <c r="B71" s="113">
        <f t="array" ref="B71:H71">Days+8+DATE(Calendar5Year,Calendar5MonthOption,1)-WEEKDAY(DATE(Calendar5Year,Calendar5MonthOption,1),WeekdayOption)</f>
        <v>46209</v>
      </c>
      <c r="C71" s="103">
        <v>46210</v>
      </c>
      <c r="D71" s="103">
        <v>46211</v>
      </c>
      <c r="E71" s="103">
        <v>46212</v>
      </c>
      <c r="F71" s="103">
        <v>46213</v>
      </c>
      <c r="G71" s="107">
        <v>46214</v>
      </c>
      <c r="H71" s="38">
        <v>46215</v>
      </c>
    </row>
    <row r="72" spans="2:8" s="24" customFormat="1" ht="51" customHeight="1" x14ac:dyDescent="0.3">
      <c r="B72" s="131"/>
      <c r="C72" s="131"/>
      <c r="D72" s="131"/>
      <c r="E72" s="141"/>
      <c r="F72" s="150"/>
      <c r="G72" s="131" t="s">
        <v>34</v>
      </c>
      <c r="H72" s="150"/>
    </row>
    <row r="73" spans="2:8" s="79" customFormat="1" ht="24" customHeight="1" x14ac:dyDescent="0.4">
      <c r="B73" s="113">
        <f t="array" ref="B73:H73">Days+15+DATE(Calendar5Year,Calendar5MonthOption,1)-WEEKDAY(DATE(Calendar5Year,Calendar5MonthOption,1),WeekdayOption)</f>
        <v>46216</v>
      </c>
      <c r="C73" s="103">
        <v>46217</v>
      </c>
      <c r="D73" s="103">
        <v>46218</v>
      </c>
      <c r="E73" s="103">
        <v>46219</v>
      </c>
      <c r="F73" s="103">
        <v>46220</v>
      </c>
      <c r="G73" s="103">
        <v>46221</v>
      </c>
      <c r="H73" s="38">
        <v>46222</v>
      </c>
    </row>
    <row r="74" spans="2:8" s="24" customFormat="1" ht="51" customHeight="1" x14ac:dyDescent="0.3">
      <c r="B74" s="131"/>
      <c r="C74" s="131"/>
      <c r="D74" s="131"/>
      <c r="E74" s="131"/>
      <c r="F74" s="131"/>
      <c r="G74" s="131" t="s">
        <v>33</v>
      </c>
      <c r="H74" s="31"/>
    </row>
    <row r="75" spans="2:8" s="79" customFormat="1" ht="24" customHeight="1" x14ac:dyDescent="0.4">
      <c r="B75" s="157">
        <f t="array" ref="B75:H75">Days+22+DATE(Calendar5Year,Calendar5MonthOption,1)-WEEKDAY(DATE(Calendar5Year,Calendar5MonthOption,1),WeekdayOption)</f>
        <v>46223</v>
      </c>
      <c r="C75" s="103">
        <v>46224</v>
      </c>
      <c r="D75" s="103">
        <v>46225</v>
      </c>
      <c r="E75" s="103">
        <v>46226</v>
      </c>
      <c r="F75" s="103">
        <v>46227</v>
      </c>
      <c r="G75" s="107">
        <v>46228</v>
      </c>
      <c r="H75" s="38">
        <v>46229</v>
      </c>
    </row>
    <row r="76" spans="2:8" s="24" customFormat="1" ht="51" customHeight="1" x14ac:dyDescent="0.3">
      <c r="B76" s="131" t="s">
        <v>35</v>
      </c>
      <c r="C76" s="131" t="s">
        <v>35</v>
      </c>
      <c r="D76" s="131" t="s">
        <v>35</v>
      </c>
      <c r="E76" s="131" t="s">
        <v>35</v>
      </c>
      <c r="F76" s="131" t="s">
        <v>35</v>
      </c>
      <c r="G76" s="131" t="s">
        <v>35</v>
      </c>
      <c r="H76" s="31"/>
    </row>
    <row r="77" spans="2:8" s="79" customFormat="1" ht="24" customHeight="1" x14ac:dyDescent="0.4">
      <c r="B77" s="113">
        <f t="array" ref="B77:H77">Days+29+DATE(Calendar5Year,Calendar5MonthOption,1)-WEEKDAY(DATE(Calendar5Year,Calendar5MonthOption,1),WeekdayOption)</f>
        <v>46230</v>
      </c>
      <c r="C77" s="103">
        <v>46231</v>
      </c>
      <c r="D77" s="103">
        <v>46232</v>
      </c>
      <c r="E77" s="103">
        <v>46233</v>
      </c>
      <c r="F77" s="103">
        <v>46234</v>
      </c>
      <c r="G77" s="103">
        <v>46235</v>
      </c>
      <c r="H77" s="38">
        <v>46236</v>
      </c>
    </row>
    <row r="78" spans="2:8" s="24" customFormat="1" ht="51" customHeight="1" x14ac:dyDescent="0.3">
      <c r="B78" s="141"/>
      <c r="C78" s="131"/>
      <c r="D78" s="158" t="s">
        <v>0</v>
      </c>
      <c r="E78" s="131"/>
      <c r="F78" s="129"/>
      <c r="G78" s="141" t="s">
        <v>36</v>
      </c>
      <c r="H78" s="31"/>
    </row>
    <row r="79" spans="2:8" s="79" customFormat="1" ht="40.35" customHeight="1" x14ac:dyDescent="0.4">
      <c r="B79" s="102">
        <f t="array" ref="B79:C79">Days+36+DATE(Calendar5Year,Calendar5MonthOption,1)-WEEKDAY(DATE(Calendar5Year,Calendar5MonthOption,1),WeekdayOption)</f>
        <v>46237</v>
      </c>
      <c r="C79" s="94">
        <v>46238</v>
      </c>
      <c r="D79" s="159" t="s">
        <v>37</v>
      </c>
      <c r="E79" s="160"/>
      <c r="F79" s="160"/>
      <c r="G79" s="160"/>
      <c r="H79" s="161"/>
    </row>
    <row r="80" spans="2:8" s="24" customFormat="1" ht="87.9" customHeight="1" x14ac:dyDescent="0.3">
      <c r="B80" s="138"/>
      <c r="C80" s="139"/>
      <c r="D80" s="126"/>
      <c r="E80" s="126"/>
      <c r="F80" s="126"/>
      <c r="G80" s="126"/>
      <c r="H80" s="127"/>
    </row>
    <row r="81" spans="2:8" s="9" customFormat="1" ht="6" customHeight="1" x14ac:dyDescent="0.3">
      <c r="B81" s="89"/>
      <c r="C81" s="89"/>
      <c r="D81" s="90"/>
      <c r="E81" s="90"/>
      <c r="F81" s="90"/>
      <c r="G81" s="90"/>
      <c r="H81" s="90"/>
    </row>
    <row r="82" spans="2:8" ht="97.65" customHeight="1" x14ac:dyDescent="1">
      <c r="B82" s="3">
        <f>YEAR(DATE(Calendar1Year,Calendar1MonthOption+1,1))</f>
        <v>2026</v>
      </c>
      <c r="C82" s="4" t="s">
        <v>38</v>
      </c>
      <c r="D82" s="5"/>
      <c r="E82" s="6" t="s">
        <v>39</v>
      </c>
      <c r="F82" s="6"/>
      <c r="G82" s="6"/>
      <c r="H82" s="7"/>
    </row>
    <row r="83" spans="2:8" ht="9" customHeight="1" x14ac:dyDescent="0.3">
      <c r="B83" s="8"/>
      <c r="C83" s="9"/>
      <c r="D83" s="9"/>
      <c r="E83" s="9"/>
      <c r="F83" s="9"/>
      <c r="G83" s="9"/>
      <c r="H83" s="10"/>
    </row>
    <row r="84" spans="2:8" s="11" customFormat="1" ht="24" customHeight="1" x14ac:dyDescent="0.3">
      <c r="B84" s="12" t="str">
        <f t="shared" ref="B84:H84" si="4">TEXT(B85,"dddd")</f>
        <v>Monday</v>
      </c>
      <c r="C84" s="13" t="str">
        <f t="shared" si="4"/>
        <v>Tuesday</v>
      </c>
      <c r="D84" s="14" t="str">
        <f t="shared" si="4"/>
        <v>Wednesday</v>
      </c>
      <c r="E84" s="13" t="str">
        <f t="shared" si="4"/>
        <v>Thursday</v>
      </c>
      <c r="F84" s="14" t="str">
        <f t="shared" si="4"/>
        <v>Friday</v>
      </c>
      <c r="G84" s="13" t="str">
        <f t="shared" si="4"/>
        <v>Saturday</v>
      </c>
      <c r="H84" s="15" t="str">
        <f t="shared" si="4"/>
        <v>Sunday</v>
      </c>
    </row>
    <row r="85" spans="2:8" s="79" customFormat="1" ht="24" customHeight="1" x14ac:dyDescent="0.4">
      <c r="B85" s="93">
        <f t="array" ref="B85:H85">Days+1+DATE(Calendar6Year,Calendar6MonthOption,1)-WEEKDAY(DATE(Calendar6Year,Calendar6MonthOption,1),WeekdayOption)</f>
        <v>46230</v>
      </c>
      <c r="C85" s="121">
        <v>46231</v>
      </c>
      <c r="D85" s="121">
        <v>46232</v>
      </c>
      <c r="E85" s="121">
        <v>46233</v>
      </c>
      <c r="F85" s="94">
        <v>46234</v>
      </c>
      <c r="G85" s="94">
        <v>46235</v>
      </c>
      <c r="H85" s="23">
        <v>46236</v>
      </c>
    </row>
    <row r="86" spans="2:8" s="24" customFormat="1" ht="51" customHeight="1" x14ac:dyDescent="0.3">
      <c r="B86" s="128"/>
      <c r="C86" s="129"/>
      <c r="D86" s="129"/>
      <c r="E86" s="129"/>
      <c r="F86" s="131"/>
      <c r="G86" s="131" t="s">
        <v>29</v>
      </c>
      <c r="H86" s="31"/>
    </row>
    <row r="87" spans="2:8" s="79" customFormat="1" ht="24" customHeight="1" x14ac:dyDescent="0.4">
      <c r="B87" s="113">
        <f t="array" ref="B87:H87">Days+8+DATE(Calendar6Year,Calendar6MonthOption,1)-WEEKDAY(DATE(Calendar6Year,Calendar6MonthOption,1),WeekdayOption)</f>
        <v>46237</v>
      </c>
      <c r="C87" s="108">
        <v>46238</v>
      </c>
      <c r="D87" s="103">
        <v>46239</v>
      </c>
      <c r="E87" s="103">
        <v>46240</v>
      </c>
      <c r="F87" s="108">
        <v>46241</v>
      </c>
      <c r="G87" s="107">
        <v>46242</v>
      </c>
      <c r="H87" s="38">
        <v>46243</v>
      </c>
    </row>
    <row r="88" spans="2:8" s="24" customFormat="1" ht="51" customHeight="1" x14ac:dyDescent="0.3">
      <c r="B88" s="162"/>
      <c r="C88" s="99"/>
      <c r="D88" s="163"/>
      <c r="E88" s="163"/>
      <c r="F88" s="163"/>
      <c r="G88" s="144" t="s">
        <v>40</v>
      </c>
      <c r="H88" s="164"/>
    </row>
    <row r="89" spans="2:8" s="79" customFormat="1" ht="24" customHeight="1" x14ac:dyDescent="0.4">
      <c r="B89" s="165">
        <f t="array" ref="B89:H89">Days+15+DATE(Calendar6Year,Calendar6MonthOption,1)-WEEKDAY(DATE(Calendar6Year,Calendar6MonthOption,1),WeekdayOption)</f>
        <v>46244</v>
      </c>
      <c r="C89" s="103">
        <v>46245</v>
      </c>
      <c r="D89" s="103">
        <v>46246</v>
      </c>
      <c r="E89" s="103">
        <v>46247</v>
      </c>
      <c r="F89" s="108">
        <v>46248</v>
      </c>
      <c r="G89" s="107">
        <v>46249</v>
      </c>
      <c r="H89" s="38">
        <v>46250</v>
      </c>
    </row>
    <row r="90" spans="2:8" s="24" customFormat="1" ht="51" customHeight="1" x14ac:dyDescent="0.3">
      <c r="B90" s="99" t="s">
        <v>41</v>
      </c>
      <c r="C90" s="163"/>
      <c r="D90" s="163"/>
      <c r="E90" s="163"/>
      <c r="F90" s="166"/>
      <c r="G90" s="166" t="s">
        <v>42</v>
      </c>
      <c r="H90" s="131"/>
    </row>
    <row r="91" spans="2:8" s="79" customFormat="1" ht="24" customHeight="1" x14ac:dyDescent="0.4">
      <c r="B91" s="113">
        <f t="array" ref="B91:H91">Days+22+DATE(Calendar6Year,Calendar6MonthOption,1)-WEEKDAY(DATE(Calendar6Year,Calendar6MonthOption,1),WeekdayOption)</f>
        <v>46251</v>
      </c>
      <c r="C91" s="103">
        <v>46252</v>
      </c>
      <c r="D91" s="103">
        <v>46253</v>
      </c>
      <c r="E91" s="103">
        <v>46254</v>
      </c>
      <c r="F91" s="103">
        <v>46255</v>
      </c>
      <c r="G91" s="104">
        <v>46256</v>
      </c>
      <c r="H91" s="38">
        <v>46257</v>
      </c>
    </row>
    <row r="92" spans="2:8" s="24" customFormat="1" ht="51" customHeight="1" x14ac:dyDescent="0.3">
      <c r="B92" s="129"/>
      <c r="C92" s="131"/>
      <c r="D92" s="158"/>
      <c r="E92" s="129"/>
      <c r="F92" s="131"/>
      <c r="G92" s="167" t="s">
        <v>21</v>
      </c>
      <c r="H92" s="131"/>
    </row>
    <row r="93" spans="2:8" s="79" customFormat="1" ht="24" customHeight="1" x14ac:dyDescent="0.4">
      <c r="B93" s="113">
        <f t="array" ref="B93:H93">Days+29+DATE(Calendar6Year,Calendar6MonthOption,1)-WEEKDAY(DATE(Calendar6Year,Calendar6MonthOption,1),WeekdayOption)</f>
        <v>46258</v>
      </c>
      <c r="C93" s="103">
        <v>46259</v>
      </c>
      <c r="D93" s="104">
        <v>46260</v>
      </c>
      <c r="E93" s="103">
        <v>46261</v>
      </c>
      <c r="F93" s="103">
        <v>46262</v>
      </c>
      <c r="G93" s="103">
        <v>46263</v>
      </c>
      <c r="H93" s="38">
        <v>46264</v>
      </c>
    </row>
    <row r="94" spans="2:8" s="24" customFormat="1" ht="51" customHeight="1" x14ac:dyDescent="0.3">
      <c r="B94" s="140"/>
      <c r="C94" s="131"/>
      <c r="D94" s="168" t="s">
        <v>43</v>
      </c>
      <c r="E94" s="131"/>
      <c r="F94" s="169"/>
      <c r="G94" s="131" t="s">
        <v>29</v>
      </c>
      <c r="H94" s="31"/>
    </row>
    <row r="95" spans="2:8" s="79" customFormat="1" ht="34.35" customHeight="1" x14ac:dyDescent="0.4">
      <c r="B95" s="102">
        <f t="array" ref="B95:C95">Days+36+DATE(Calendar6Year,Calendar6MonthOption,1)-WEEKDAY(DATE(Calendar6Year,Calendar6MonthOption,1),WeekdayOption)</f>
        <v>46265</v>
      </c>
      <c r="C95" s="121">
        <v>46266</v>
      </c>
      <c r="D95" s="159" t="s">
        <v>37</v>
      </c>
      <c r="E95" s="160"/>
      <c r="F95" s="160"/>
      <c r="G95" s="160"/>
      <c r="H95" s="161"/>
    </row>
    <row r="96" spans="2:8" s="24" customFormat="1" ht="109.5" customHeight="1" x14ac:dyDescent="0.3">
      <c r="B96" s="138"/>
      <c r="C96" s="139"/>
      <c r="D96" s="126"/>
      <c r="E96" s="126"/>
      <c r="F96" s="126"/>
      <c r="G96" s="126"/>
      <c r="H96" s="127"/>
    </row>
    <row r="97" spans="2:8" s="9" customFormat="1" ht="9" customHeight="1" x14ac:dyDescent="0.3">
      <c r="B97" s="89"/>
      <c r="C97" s="89"/>
      <c r="D97" s="90"/>
      <c r="E97" s="90"/>
      <c r="F97" s="90"/>
      <c r="G97" s="90"/>
      <c r="H97" s="90"/>
    </row>
    <row r="98" spans="2:8" ht="97.65" customHeight="1" x14ac:dyDescent="0.9">
      <c r="B98" s="3">
        <f>YEAR(DATE(Calendar1Year,Calendar1MonthOption+1,1))</f>
        <v>2026</v>
      </c>
      <c r="C98" s="170" t="s">
        <v>44</v>
      </c>
      <c r="D98" s="171"/>
      <c r="E98" s="6" t="s">
        <v>45</v>
      </c>
      <c r="F98" s="6"/>
      <c r="G98" s="6"/>
      <c r="H98" s="7"/>
    </row>
    <row r="99" spans="2:8" ht="9" customHeight="1" x14ac:dyDescent="0.3">
      <c r="B99" s="8"/>
      <c r="C99" s="9"/>
      <c r="D99" s="9"/>
      <c r="E99" s="9"/>
      <c r="F99" s="9"/>
      <c r="G99" s="9"/>
      <c r="H99" s="10"/>
    </row>
    <row r="100" spans="2:8" s="11" customFormat="1" ht="24" customHeight="1" x14ac:dyDescent="0.3">
      <c r="B100" s="12" t="str">
        <f t="shared" ref="B100:H100" si="5">TEXT(B101,"dddd")</f>
        <v>Monday</v>
      </c>
      <c r="C100" s="13" t="str">
        <f t="shared" si="5"/>
        <v>Tuesday</v>
      </c>
      <c r="D100" s="14" t="str">
        <f t="shared" si="5"/>
        <v>Wednesday</v>
      </c>
      <c r="E100" s="13" t="str">
        <f t="shared" si="5"/>
        <v>Thursday</v>
      </c>
      <c r="F100" s="14" t="str">
        <f t="shared" si="5"/>
        <v>Friday</v>
      </c>
      <c r="G100" s="13" t="str">
        <f t="shared" si="5"/>
        <v>Saturday</v>
      </c>
      <c r="H100" s="15" t="str">
        <f t="shared" si="5"/>
        <v>Sunday</v>
      </c>
    </row>
    <row r="101" spans="2:8" s="79" customFormat="1" ht="24" customHeight="1" x14ac:dyDescent="0.4">
      <c r="B101" s="102">
        <f t="array" ref="B101:H101">Days+1+DATE(Calendar7Year,Calendar7MonthOption,1)-WEEKDAY(DATE(Calendar7Year,Calendar7MonthOption,1),WeekdayOption)</f>
        <v>46265</v>
      </c>
      <c r="C101" s="94">
        <v>46266</v>
      </c>
      <c r="D101" s="94">
        <v>46267</v>
      </c>
      <c r="E101" s="94">
        <v>46268</v>
      </c>
      <c r="F101" s="95">
        <v>46269</v>
      </c>
      <c r="G101" s="94">
        <v>46270</v>
      </c>
      <c r="H101" s="23">
        <v>46271</v>
      </c>
    </row>
    <row r="102" spans="2:8" s="24" customFormat="1" ht="42.75" customHeight="1" x14ac:dyDescent="0.3">
      <c r="B102" s="172"/>
      <c r="C102" s="173"/>
      <c r="D102" s="174"/>
      <c r="E102" s="175"/>
      <c r="F102" s="99" t="s">
        <v>46</v>
      </c>
      <c r="G102" s="175"/>
      <c r="H102" s="176"/>
    </row>
    <row r="103" spans="2:8" s="79" customFormat="1" ht="24" customHeight="1" x14ac:dyDescent="0.4">
      <c r="B103" s="113">
        <f t="array" ref="B103:H103">Days+8+DATE(Calendar7Year,Calendar7MonthOption,1)-WEEKDAY(DATE(Calendar7Year,Calendar7MonthOption,1),WeekdayOption)</f>
        <v>46272</v>
      </c>
      <c r="C103" s="103">
        <v>46273</v>
      </c>
      <c r="D103" s="103">
        <v>46274</v>
      </c>
      <c r="E103" s="103">
        <v>46275</v>
      </c>
      <c r="F103" s="103">
        <v>46276</v>
      </c>
      <c r="G103" s="104">
        <v>46277</v>
      </c>
      <c r="H103" s="38">
        <v>46278</v>
      </c>
    </row>
    <row r="104" spans="2:8" s="24" customFormat="1" ht="51" customHeight="1" x14ac:dyDescent="0.3">
      <c r="B104" s="140"/>
      <c r="C104" s="175"/>
      <c r="D104" s="141"/>
      <c r="E104" s="131"/>
      <c r="F104" s="163"/>
      <c r="G104" s="141" t="s">
        <v>47</v>
      </c>
      <c r="H104" s="132"/>
    </row>
    <row r="105" spans="2:8" s="79" customFormat="1" ht="24" customHeight="1" x14ac:dyDescent="0.4">
      <c r="B105" s="165">
        <f t="array" ref="B105:H105">Days+15+DATE(Calendar7Year,Calendar7MonthOption,1)-WEEKDAY(DATE(Calendar7Year,Calendar7MonthOption,1),WeekdayOption)</f>
        <v>46279</v>
      </c>
      <c r="C105" s="103">
        <v>46280</v>
      </c>
      <c r="D105" s="103">
        <v>46281</v>
      </c>
      <c r="E105" s="103">
        <v>46282</v>
      </c>
      <c r="F105" s="103">
        <v>46283</v>
      </c>
      <c r="G105" s="103">
        <v>46284</v>
      </c>
      <c r="H105" s="38">
        <v>46285</v>
      </c>
    </row>
    <row r="106" spans="2:8" s="24" customFormat="1" ht="51" customHeight="1" x14ac:dyDescent="0.3">
      <c r="B106" s="177" t="s">
        <v>48</v>
      </c>
      <c r="C106" s="163"/>
      <c r="D106" s="163"/>
      <c r="E106" s="163"/>
      <c r="G106" s="163" t="s">
        <v>29</v>
      </c>
      <c r="H106" s="178"/>
    </row>
    <row r="107" spans="2:8" s="79" customFormat="1" ht="24" customHeight="1" x14ac:dyDescent="0.4">
      <c r="B107" s="113">
        <f t="array" ref="B107:H107">Days+22+DATE(Calendar7Year,Calendar7MonthOption,1)-WEEKDAY(DATE(Calendar7Year,Calendar7MonthOption,1),WeekdayOption)</f>
        <v>46286</v>
      </c>
      <c r="C107" s="103">
        <v>46287</v>
      </c>
      <c r="D107" s="103">
        <v>46288</v>
      </c>
      <c r="E107" s="103">
        <v>46289</v>
      </c>
      <c r="F107" s="103">
        <v>46290</v>
      </c>
      <c r="G107" s="104">
        <v>46291</v>
      </c>
      <c r="H107" s="38">
        <v>46292</v>
      </c>
    </row>
    <row r="108" spans="2:8" s="24" customFormat="1" ht="51" customHeight="1" x14ac:dyDescent="0.3">
      <c r="B108" s="179"/>
      <c r="C108" s="179"/>
      <c r="D108" s="179"/>
      <c r="E108" s="180"/>
      <c r="F108" s="163"/>
      <c r="G108" s="40" t="s">
        <v>21</v>
      </c>
      <c r="H108" s="181"/>
    </row>
    <row r="109" spans="2:8" s="79" customFormat="1" ht="24" customHeight="1" x14ac:dyDescent="0.4">
      <c r="B109" s="113">
        <f t="array" ref="B109:H109">Days+29+DATE(Calendar7Year,Calendar7MonthOption,1)-WEEKDAY(DATE(Calendar7Year,Calendar7MonthOption,1),WeekdayOption)</f>
        <v>46293</v>
      </c>
      <c r="C109" s="103">
        <v>46294</v>
      </c>
      <c r="D109" s="103">
        <v>46295</v>
      </c>
      <c r="E109" s="182">
        <v>46296</v>
      </c>
      <c r="F109" s="182">
        <v>46297</v>
      </c>
      <c r="G109" s="118">
        <v>46298</v>
      </c>
      <c r="H109" s="119">
        <v>46299</v>
      </c>
    </row>
    <row r="110" spans="2:8" s="24" customFormat="1" ht="51" customHeight="1" x14ac:dyDescent="0.3">
      <c r="B110" s="162"/>
      <c r="C110" s="162"/>
      <c r="D110" s="163"/>
      <c r="E110" s="179"/>
      <c r="F110" s="179"/>
      <c r="G110" s="179"/>
      <c r="H110" s="183"/>
    </row>
    <row r="111" spans="2:8" s="79" customFormat="1" ht="39" customHeight="1" x14ac:dyDescent="0.4">
      <c r="B111" s="93">
        <f t="array" ref="B111:C111">Days+36+DATE(Calendar7Year,Calendar7MonthOption,1)-WEEKDAY(DATE(Calendar7Year,Calendar7MonthOption,1),WeekdayOption)</f>
        <v>46300</v>
      </c>
      <c r="C111" s="121">
        <v>46301</v>
      </c>
      <c r="D111" s="152" t="s">
        <v>49</v>
      </c>
      <c r="E111" s="153"/>
      <c r="F111" s="153"/>
      <c r="G111" s="153"/>
      <c r="H111" s="154"/>
    </row>
    <row r="112" spans="2:8" s="24" customFormat="1" ht="84.9" customHeight="1" x14ac:dyDescent="0.3">
      <c r="B112" s="138"/>
      <c r="C112" s="139"/>
      <c r="D112" s="126"/>
      <c r="E112" s="126"/>
      <c r="F112" s="126"/>
      <c r="G112" s="126"/>
      <c r="H112" s="127"/>
    </row>
    <row r="113" spans="2:8" s="9" customFormat="1" ht="9" customHeight="1" x14ac:dyDescent="0.3">
      <c r="B113" s="89"/>
      <c r="C113" s="89"/>
      <c r="D113" s="90"/>
      <c r="E113" s="90"/>
      <c r="F113" s="90"/>
      <c r="G113" s="90"/>
      <c r="H113" s="90"/>
    </row>
    <row r="114" spans="2:8" ht="96.6" customHeight="1" x14ac:dyDescent="1">
      <c r="B114" s="3">
        <f>YEAR(DATE(Calendar1Year,Calendar1MonthOption+1,1))</f>
        <v>2026</v>
      </c>
      <c r="C114" s="4" t="s">
        <v>50</v>
      </c>
      <c r="D114" s="5"/>
      <c r="E114" s="6" t="s">
        <v>51</v>
      </c>
      <c r="F114" s="6"/>
      <c r="G114" s="6"/>
      <c r="H114" s="7"/>
    </row>
    <row r="115" spans="2:8" ht="9" customHeight="1" x14ac:dyDescent="0.3">
      <c r="B115" s="8"/>
      <c r="C115" s="9"/>
      <c r="D115" s="9"/>
      <c r="E115" s="9"/>
      <c r="F115" s="9"/>
      <c r="G115" s="9"/>
      <c r="H115" s="10"/>
    </row>
    <row r="116" spans="2:8" s="11" customFormat="1" ht="24" customHeight="1" x14ac:dyDescent="0.3">
      <c r="B116" s="12" t="str">
        <f t="shared" ref="B116:H116" si="6">TEXT(B117,"dddd")</f>
        <v>Monday</v>
      </c>
      <c r="C116" s="13" t="str">
        <f t="shared" si="6"/>
        <v>Tuesday</v>
      </c>
      <c r="D116" s="14" t="str">
        <f t="shared" si="6"/>
        <v>Wednesday</v>
      </c>
      <c r="E116" s="13" t="str">
        <f t="shared" si="6"/>
        <v>Thursday</v>
      </c>
      <c r="F116" s="14" t="str">
        <f t="shared" si="6"/>
        <v>Friday</v>
      </c>
      <c r="G116" s="13" t="str">
        <f t="shared" si="6"/>
        <v>Saturday</v>
      </c>
      <c r="H116" s="15" t="str">
        <f t="shared" si="6"/>
        <v>Sunday</v>
      </c>
    </row>
    <row r="117" spans="2:8" s="79" customFormat="1" ht="24" customHeight="1" x14ac:dyDescent="0.4">
      <c r="B117" s="184">
        <f t="array" ref="B117:H117">Days+1+DATE(Calendar8Year,Calendar8MonthOption,1)-WEEKDAY(DATE(Calendar8Year,Calendar8MonthOption,1),WeekdayOption)</f>
        <v>46293</v>
      </c>
      <c r="C117" s="185">
        <v>46294</v>
      </c>
      <c r="D117" s="186">
        <v>46295</v>
      </c>
      <c r="E117" s="187">
        <v>46296</v>
      </c>
      <c r="F117" s="188">
        <v>46297</v>
      </c>
      <c r="G117" s="187">
        <v>46298</v>
      </c>
      <c r="H117" s="189">
        <v>46299</v>
      </c>
    </row>
    <row r="118" spans="2:8" s="24" customFormat="1" ht="51" customHeight="1" x14ac:dyDescent="0.3">
      <c r="B118" s="190"/>
      <c r="C118" s="191"/>
      <c r="D118" s="163"/>
      <c r="E118" s="163" t="s">
        <v>52</v>
      </c>
      <c r="F118" s="192" t="s">
        <v>53</v>
      </c>
      <c r="G118" s="163" t="s">
        <v>52</v>
      </c>
      <c r="H118" s="192"/>
    </row>
    <row r="119" spans="2:8" s="79" customFormat="1" ht="24" customHeight="1" x14ac:dyDescent="0.4">
      <c r="B119" s="193">
        <f t="array" ref="B119:H119">Days+8+DATE(Calendar8Year,Calendar8MonthOption,1)-WEEKDAY(DATE(Calendar8Year,Calendar8MonthOption,1),WeekdayOption)</f>
        <v>46300</v>
      </c>
      <c r="C119" s="194">
        <v>46301</v>
      </c>
      <c r="D119" s="194">
        <v>46302</v>
      </c>
      <c r="E119" s="194">
        <v>46303</v>
      </c>
      <c r="F119" s="194">
        <v>46304</v>
      </c>
      <c r="G119" s="195">
        <v>46305</v>
      </c>
      <c r="H119" s="196">
        <v>46306</v>
      </c>
    </row>
    <row r="120" spans="2:8" s="24" customFormat="1" ht="51" customHeight="1" x14ac:dyDescent="0.3">
      <c r="B120" s="180" t="s">
        <v>52</v>
      </c>
      <c r="C120" s="180" t="s">
        <v>52</v>
      </c>
      <c r="D120" s="180" t="s">
        <v>52</v>
      </c>
      <c r="E120" s="180" t="s">
        <v>52</v>
      </c>
      <c r="F120" s="180"/>
      <c r="G120" s="192" t="s">
        <v>54</v>
      </c>
      <c r="H120" s="192" t="s">
        <v>55</v>
      </c>
    </row>
    <row r="121" spans="2:8" s="79" customFormat="1" ht="24" customHeight="1" x14ac:dyDescent="0.4">
      <c r="B121" s="193">
        <f t="array" ref="B121:H121">Days+15+DATE(Calendar8Year,Calendar8MonthOption,1)-WEEKDAY(DATE(Calendar8Year,Calendar8MonthOption,1),WeekdayOption)</f>
        <v>46307</v>
      </c>
      <c r="C121" s="197">
        <v>46308</v>
      </c>
      <c r="D121" s="198">
        <v>46309</v>
      </c>
      <c r="E121" s="198">
        <v>46310</v>
      </c>
      <c r="F121" s="198">
        <v>46311</v>
      </c>
      <c r="G121" s="198">
        <v>46312</v>
      </c>
      <c r="H121" s="196">
        <v>46313</v>
      </c>
    </row>
    <row r="122" spans="2:8" s="24" customFormat="1" ht="51" customHeight="1" x14ac:dyDescent="0.3">
      <c r="B122" s="192" t="s">
        <v>56</v>
      </c>
      <c r="C122" s="192" t="s">
        <v>56</v>
      </c>
      <c r="D122" s="192" t="s">
        <v>56</v>
      </c>
      <c r="E122" s="192" t="s">
        <v>56</v>
      </c>
      <c r="F122" s="192" t="s">
        <v>56</v>
      </c>
      <c r="G122" s="192" t="s">
        <v>56</v>
      </c>
      <c r="H122" s="199"/>
    </row>
    <row r="123" spans="2:8" s="79" customFormat="1" ht="24" customHeight="1" x14ac:dyDescent="0.4">
      <c r="B123" s="200">
        <f t="array" ref="B123:H123">Days+22+DATE(Calendar8Year,Calendar8MonthOption,1)-WEEKDAY(DATE(Calendar8Year,Calendar8MonthOption,1),WeekdayOption)</f>
        <v>46314</v>
      </c>
      <c r="C123" s="198">
        <v>46315</v>
      </c>
      <c r="D123" s="194">
        <v>46316</v>
      </c>
      <c r="E123" s="198">
        <v>46317</v>
      </c>
      <c r="F123" s="198">
        <v>46318</v>
      </c>
      <c r="G123" s="198">
        <v>46319</v>
      </c>
      <c r="H123" s="196">
        <v>46320</v>
      </c>
    </row>
    <row r="124" spans="2:8" s="24" customFormat="1" ht="51" customHeight="1" x14ac:dyDescent="0.3">
      <c r="B124" s="201" t="s">
        <v>57</v>
      </c>
      <c r="C124" s="192" t="s">
        <v>58</v>
      </c>
      <c r="D124" s="192" t="s">
        <v>56</v>
      </c>
      <c r="E124" s="180" t="s">
        <v>59</v>
      </c>
      <c r="F124" s="180" t="s">
        <v>60</v>
      </c>
      <c r="G124" s="202" t="s">
        <v>61</v>
      </c>
      <c r="H124" s="199"/>
    </row>
    <row r="125" spans="2:8" s="79" customFormat="1" ht="24" customHeight="1" x14ac:dyDescent="0.4">
      <c r="B125" s="193">
        <f t="array" ref="B125:H125">Days+29+DATE(Calendar8Year,Calendar8MonthOption,1)-WEEKDAY(DATE(Calendar8Year,Calendar8MonthOption,1),WeekdayOption)</f>
        <v>46321</v>
      </c>
      <c r="C125" s="197">
        <v>46322</v>
      </c>
      <c r="D125" s="198">
        <v>46323</v>
      </c>
      <c r="E125" s="198">
        <v>46324</v>
      </c>
      <c r="F125" s="198">
        <v>46325</v>
      </c>
      <c r="G125" s="198">
        <v>46326</v>
      </c>
      <c r="H125" s="203">
        <v>46327</v>
      </c>
    </row>
    <row r="126" spans="2:8" s="24" customFormat="1" ht="51" customHeight="1" x14ac:dyDescent="0.3">
      <c r="B126" s="201"/>
      <c r="C126" s="192"/>
      <c r="D126" s="192"/>
      <c r="E126" s="192"/>
      <c r="F126" s="180"/>
      <c r="G126" s="202" t="s">
        <v>29</v>
      </c>
      <c r="H126" s="181"/>
    </row>
    <row r="127" spans="2:8" s="79" customFormat="1" ht="33.75" customHeight="1" x14ac:dyDescent="0.4">
      <c r="B127" s="204">
        <f t="array" ref="B127:C127">Days+36+DATE(Calendar8Year,Calendar8MonthOption,1)-WEEKDAY(DATE(Calendar8Year,Calendar8MonthOption,1),WeekdayOption)</f>
        <v>46328</v>
      </c>
      <c r="C127" s="205">
        <v>46329</v>
      </c>
      <c r="D127" s="206" t="s">
        <v>62</v>
      </c>
      <c r="E127" s="207"/>
      <c r="F127" s="207"/>
      <c r="G127" s="207"/>
      <c r="H127" s="208"/>
    </row>
    <row r="128" spans="2:8" s="24" customFormat="1" ht="56.1" customHeight="1" x14ac:dyDescent="0.3">
      <c r="B128" s="209"/>
      <c r="C128" s="210"/>
      <c r="D128" s="211"/>
      <c r="E128" s="211"/>
      <c r="F128" s="211"/>
      <c r="G128" s="211"/>
      <c r="H128" s="212"/>
    </row>
    <row r="129" spans="2:12" s="9" customFormat="1" ht="9" customHeight="1" x14ac:dyDescent="0.3">
      <c r="B129" s="89"/>
      <c r="C129" s="89"/>
      <c r="D129" s="90"/>
      <c r="E129" s="90"/>
      <c r="F129" s="90"/>
      <c r="G129" s="90"/>
      <c r="H129" s="90"/>
    </row>
    <row r="130" spans="2:12" ht="95.25" customHeight="1" x14ac:dyDescent="0.95">
      <c r="B130" s="3">
        <f>YEAR(DATE(Calendar1Year,Calendar1MonthOption+1,1))</f>
        <v>2026</v>
      </c>
      <c r="C130" s="213" t="s">
        <v>63</v>
      </c>
      <c r="D130" s="214"/>
      <c r="E130" s="6" t="s">
        <v>64</v>
      </c>
      <c r="F130" s="6"/>
      <c r="G130" s="6"/>
      <c r="H130" s="7"/>
      <c r="L130" s="2" t="s">
        <v>65</v>
      </c>
    </row>
    <row r="131" spans="2:12" ht="9" customHeight="1" x14ac:dyDescent="0.3">
      <c r="B131" s="8"/>
      <c r="C131" s="9"/>
      <c r="D131" s="9"/>
      <c r="E131" s="9"/>
      <c r="F131" s="9"/>
      <c r="G131" s="9"/>
      <c r="H131" s="10"/>
    </row>
    <row r="132" spans="2:12" s="11" customFormat="1" ht="24" customHeight="1" x14ac:dyDescent="0.3">
      <c r="B132" s="12" t="str">
        <f t="shared" ref="B132:H132" si="7">TEXT(B133,"dddd")</f>
        <v>Monday</v>
      </c>
      <c r="C132" s="13" t="str">
        <f t="shared" si="7"/>
        <v>Tuesday</v>
      </c>
      <c r="D132" s="14" t="str">
        <f t="shared" si="7"/>
        <v>Wednesday</v>
      </c>
      <c r="E132" s="13" t="str">
        <f t="shared" si="7"/>
        <v>Thursday</v>
      </c>
      <c r="F132" s="14" t="str">
        <f t="shared" si="7"/>
        <v>Friday</v>
      </c>
      <c r="G132" s="13" t="str">
        <f t="shared" si="7"/>
        <v>Saturday</v>
      </c>
      <c r="H132" s="15" t="str">
        <f t="shared" si="7"/>
        <v>Sunday</v>
      </c>
    </row>
    <row r="133" spans="2:12" s="79" customFormat="1" ht="24" customHeight="1" x14ac:dyDescent="0.4">
      <c r="B133" s="93">
        <f t="array" ref="B133:H133">Days+1+DATE(Calendar9Year,Calendar9MonthOption,1)-WEEKDAY(DATE(Calendar9Year,Calendar9MonthOption,1),WeekdayOption)</f>
        <v>46321</v>
      </c>
      <c r="C133" s="121">
        <v>46322</v>
      </c>
      <c r="D133" s="121">
        <v>46323</v>
      </c>
      <c r="E133" s="121">
        <v>46324</v>
      </c>
      <c r="F133" s="121">
        <v>46325</v>
      </c>
      <c r="G133" s="121">
        <v>46326</v>
      </c>
      <c r="H133" s="23">
        <v>46327</v>
      </c>
    </row>
    <row r="134" spans="2:12" s="24" customFormat="1" ht="51" customHeight="1" x14ac:dyDescent="0.3">
      <c r="B134" s="172"/>
      <c r="C134" s="192"/>
      <c r="D134" s="192"/>
      <c r="E134" s="192"/>
      <c r="F134" s="180"/>
      <c r="G134" s="202"/>
      <c r="H134" s="181"/>
    </row>
    <row r="135" spans="2:12" s="79" customFormat="1" ht="24" customHeight="1" x14ac:dyDescent="0.4">
      <c r="B135" s="113">
        <f t="array" ref="B135:H135">Days+8+DATE(Calendar9Year,Calendar9MonthOption,1)-WEEKDAY(DATE(Calendar9Year,Calendar9MonthOption,1),WeekdayOption)</f>
        <v>46328</v>
      </c>
      <c r="C135" s="107">
        <v>46329</v>
      </c>
      <c r="D135" s="108">
        <v>46330</v>
      </c>
      <c r="E135" s="103">
        <v>46331</v>
      </c>
      <c r="F135" s="103">
        <v>46332</v>
      </c>
      <c r="G135" s="108">
        <v>46333</v>
      </c>
      <c r="H135" s="38">
        <v>46334</v>
      </c>
    </row>
    <row r="136" spans="2:12" s="24" customFormat="1" ht="51" customHeight="1" x14ac:dyDescent="0.3">
      <c r="B136" s="215"/>
      <c r="C136" s="192"/>
      <c r="D136" s="192"/>
      <c r="E136" s="180"/>
      <c r="F136" s="180"/>
      <c r="G136" s="144" t="s">
        <v>29</v>
      </c>
      <c r="H136" s="64" t="s">
        <v>66</v>
      </c>
    </row>
    <row r="137" spans="2:12" s="79" customFormat="1" ht="24" customHeight="1" x14ac:dyDescent="0.4">
      <c r="B137" s="113">
        <f t="array" ref="B137:H137">Days+15+DATE(Calendar9Year,Calendar9MonthOption,1)-WEEKDAY(DATE(Calendar9Year,Calendar9MonthOption,1),WeekdayOption)</f>
        <v>46335</v>
      </c>
      <c r="C137" s="103">
        <v>46336</v>
      </c>
      <c r="D137" s="103">
        <v>46337</v>
      </c>
      <c r="E137" s="103">
        <v>46338</v>
      </c>
      <c r="F137" s="103">
        <v>46339</v>
      </c>
      <c r="G137" s="103">
        <v>46340</v>
      </c>
      <c r="H137" s="38">
        <v>46341</v>
      </c>
    </row>
    <row r="138" spans="2:12" s="24" customFormat="1" ht="51" customHeight="1" x14ac:dyDescent="0.3">
      <c r="B138" s="215"/>
      <c r="C138" s="180"/>
      <c r="D138" s="180"/>
      <c r="E138" s="180"/>
      <c r="F138" s="131"/>
      <c r="G138" s="134" t="s">
        <v>5</v>
      </c>
      <c r="H138" s="178"/>
    </row>
    <row r="139" spans="2:12" s="79" customFormat="1" ht="24" customHeight="1" x14ac:dyDescent="0.4">
      <c r="B139" s="113">
        <f t="array" ref="B139:H139">Days+22+DATE(Calendar9Year,Calendar9MonthOption,1)-WEEKDAY(DATE(Calendar9Year,Calendar9MonthOption,1),WeekdayOption)</f>
        <v>46342</v>
      </c>
      <c r="C139" s="103">
        <v>46343</v>
      </c>
      <c r="D139" s="103">
        <v>46344</v>
      </c>
      <c r="E139" s="103">
        <v>46345</v>
      </c>
      <c r="F139" s="103">
        <v>46346</v>
      </c>
      <c r="G139" s="108">
        <v>46347</v>
      </c>
      <c r="H139" s="38">
        <v>46348</v>
      </c>
    </row>
    <row r="140" spans="2:12" s="24" customFormat="1" ht="51" customHeight="1" x14ac:dyDescent="0.3">
      <c r="B140" s="128"/>
      <c r="C140" s="129"/>
      <c r="D140" s="131"/>
      <c r="E140" s="131"/>
      <c r="F140" s="131"/>
      <c r="G140" s="144" t="s">
        <v>29</v>
      </c>
      <c r="H140" s="31"/>
    </row>
    <row r="141" spans="2:12" s="79" customFormat="1" ht="24" customHeight="1" x14ac:dyDescent="0.4">
      <c r="B141" s="113">
        <f t="array" ref="B141:H141">Days+29+DATE(Calendar9Year,Calendar9MonthOption,1)-WEEKDAY(DATE(Calendar9Year,Calendar9MonthOption,1),WeekdayOption)</f>
        <v>46349</v>
      </c>
      <c r="C141" s="104">
        <v>46350</v>
      </c>
      <c r="D141" s="103">
        <v>46351</v>
      </c>
      <c r="E141" s="103">
        <v>46352</v>
      </c>
      <c r="F141" s="103">
        <v>46353</v>
      </c>
      <c r="G141" s="103">
        <v>46354</v>
      </c>
      <c r="H141" s="38">
        <v>46355</v>
      </c>
    </row>
    <row r="142" spans="2:12" s="24" customFormat="1" ht="51" customHeight="1" x14ac:dyDescent="0.3">
      <c r="B142" s="145"/>
      <c r="C142" s="134" t="s">
        <v>67</v>
      </c>
      <c r="D142" s="131"/>
      <c r="E142" s="129"/>
      <c r="F142" s="129"/>
      <c r="G142" s="134" t="s">
        <v>21</v>
      </c>
      <c r="H142" s="31"/>
    </row>
    <row r="143" spans="2:12" s="79" customFormat="1" ht="38.4" customHeight="1" x14ac:dyDescent="0.4">
      <c r="B143" s="93">
        <f t="array" ref="B143:C143">Days+36+DATE(Calendar9Year,Calendar9MonthOption,1)-WEEKDAY(DATE(Calendar9Year,Calendar9MonthOption,1),WeekdayOption)</f>
        <v>46356</v>
      </c>
      <c r="C143" s="121">
        <v>46357</v>
      </c>
      <c r="D143" s="216" t="s">
        <v>37</v>
      </c>
      <c r="E143" s="216"/>
      <c r="F143" s="216"/>
      <c r="G143" s="216"/>
      <c r="H143" s="217"/>
    </row>
    <row r="144" spans="2:12" s="24" customFormat="1" ht="93.6" customHeight="1" x14ac:dyDescent="0.3">
      <c r="B144" s="138"/>
      <c r="C144" s="139"/>
      <c r="D144" s="211"/>
      <c r="E144" s="211"/>
      <c r="F144" s="211"/>
      <c r="G144" s="211"/>
      <c r="H144" s="212"/>
    </row>
    <row r="145" spans="2:8" s="9" customFormat="1" ht="9" customHeight="1" x14ac:dyDescent="0.3">
      <c r="B145" s="89"/>
      <c r="C145" s="89"/>
      <c r="D145" s="90"/>
      <c r="E145" s="90"/>
      <c r="F145" s="90"/>
      <c r="G145" s="90"/>
      <c r="H145" s="90"/>
    </row>
    <row r="146" spans="2:8" ht="95.25" customHeight="1" x14ac:dyDescent="1">
      <c r="B146" s="3">
        <f>YEAR(DATE(Calendar1Year,Calendar1MonthOption+1,1))</f>
        <v>2026</v>
      </c>
      <c r="C146" s="218" t="s">
        <v>68</v>
      </c>
      <c r="D146" s="5"/>
      <c r="E146" s="6" t="s">
        <v>69</v>
      </c>
      <c r="F146" s="6"/>
      <c r="G146" s="6"/>
      <c r="H146" s="7"/>
    </row>
    <row r="147" spans="2:8" ht="9" customHeight="1" x14ac:dyDescent="0.3">
      <c r="B147" s="8"/>
      <c r="C147" s="9"/>
      <c r="D147" s="9"/>
      <c r="E147" s="9"/>
      <c r="F147" s="9"/>
      <c r="G147" s="9"/>
      <c r="H147" s="10"/>
    </row>
    <row r="148" spans="2:8" s="11" customFormat="1" ht="24" customHeight="1" x14ac:dyDescent="0.3">
      <c r="B148" s="12" t="str">
        <f t="shared" ref="B148:H148" si="8">TEXT(B149,"dddd")</f>
        <v>Monday</v>
      </c>
      <c r="C148" s="13" t="str">
        <f t="shared" si="8"/>
        <v>Tuesday</v>
      </c>
      <c r="D148" s="14" t="str">
        <f t="shared" si="8"/>
        <v>Wednesday</v>
      </c>
      <c r="E148" s="13" t="str">
        <f t="shared" si="8"/>
        <v>Thursday</v>
      </c>
      <c r="F148" s="14" t="str">
        <f t="shared" si="8"/>
        <v>Friday</v>
      </c>
      <c r="G148" s="13" t="str">
        <f t="shared" si="8"/>
        <v>Saturday</v>
      </c>
      <c r="H148" s="15" t="str">
        <f t="shared" si="8"/>
        <v>Sunday</v>
      </c>
    </row>
    <row r="149" spans="2:8" s="79" customFormat="1" ht="24" customHeight="1" x14ac:dyDescent="0.4">
      <c r="B149" s="93">
        <f t="array" ref="B149:H149">Days+1+DATE(Calendar10Year,Calendar10MonthOption,1)-WEEKDAY(DATE(Calendar10Year,Calendar10MonthOption,1),WeekdayOption)</f>
        <v>46356</v>
      </c>
      <c r="C149" s="94">
        <v>46357</v>
      </c>
      <c r="D149" s="94">
        <v>46358</v>
      </c>
      <c r="E149" s="94">
        <v>46359</v>
      </c>
      <c r="F149" s="94">
        <v>46360</v>
      </c>
      <c r="G149" s="94">
        <v>46361</v>
      </c>
      <c r="H149" s="23">
        <v>46362</v>
      </c>
    </row>
    <row r="150" spans="2:8" s="24" customFormat="1" ht="51" customHeight="1" x14ac:dyDescent="0.3">
      <c r="B150" s="172"/>
      <c r="C150" s="173"/>
      <c r="D150" s="175"/>
      <c r="E150" s="219"/>
      <c r="F150" s="175"/>
      <c r="G150" s="131" t="s">
        <v>29</v>
      </c>
      <c r="H150" s="220"/>
    </row>
    <row r="151" spans="2:8" s="79" customFormat="1" ht="24" customHeight="1" x14ac:dyDescent="0.4">
      <c r="B151" s="113">
        <f t="array" ref="B151:H151">Days+8+DATE(Calendar10Year,Calendar10MonthOption,1)-WEEKDAY(DATE(Calendar10Year,Calendar10MonthOption,1),WeekdayOption)</f>
        <v>46363</v>
      </c>
      <c r="C151" s="103">
        <v>46364</v>
      </c>
      <c r="D151" s="103">
        <v>46365</v>
      </c>
      <c r="E151" s="103">
        <v>46366</v>
      </c>
      <c r="F151" s="103">
        <v>46367</v>
      </c>
      <c r="G151" s="104">
        <v>46368</v>
      </c>
      <c r="H151" s="38">
        <v>46369</v>
      </c>
    </row>
    <row r="152" spans="2:8" s="24" customFormat="1" ht="51" customHeight="1" x14ac:dyDescent="0.3">
      <c r="B152" s="140"/>
      <c r="C152" s="131"/>
      <c r="D152" s="131"/>
      <c r="E152" s="131"/>
      <c r="F152" s="131"/>
      <c r="G152" s="40" t="s">
        <v>5</v>
      </c>
      <c r="H152" s="64"/>
    </row>
    <row r="153" spans="2:8" s="79" customFormat="1" ht="24" customHeight="1" x14ac:dyDescent="0.4">
      <c r="B153" s="113">
        <f t="array" ref="B153:H153">Days+15+DATE(Calendar10Year,Calendar10MonthOption,1)-WEEKDAY(DATE(Calendar10Year,Calendar10MonthOption,1),WeekdayOption)</f>
        <v>46370</v>
      </c>
      <c r="C153" s="103">
        <v>46371</v>
      </c>
      <c r="D153" s="103">
        <v>46372</v>
      </c>
      <c r="E153" s="103">
        <v>46373</v>
      </c>
      <c r="F153" s="103">
        <v>46374</v>
      </c>
      <c r="G153" s="103">
        <v>46375</v>
      </c>
      <c r="H153" s="38">
        <v>46376</v>
      </c>
    </row>
    <row r="154" spans="2:8" s="24" customFormat="1" ht="51" customHeight="1" x14ac:dyDescent="0.3">
      <c r="B154" s="140"/>
      <c r="C154" s="140"/>
      <c r="D154" s="140"/>
      <c r="E154" s="140"/>
      <c r="F154" s="140" t="s">
        <v>70</v>
      </c>
      <c r="G154" s="140" t="s">
        <v>70</v>
      </c>
      <c r="H154" s="178"/>
    </row>
    <row r="155" spans="2:8" s="79" customFormat="1" ht="24.6" customHeight="1" x14ac:dyDescent="0.4">
      <c r="B155" s="113">
        <f t="array" ref="B155:H155">Days+22+DATE(Calendar10Year,Calendar10MonthOption,1)-WEEKDAY(DATE(Calendar10Year,Calendar10MonthOption,1),WeekdayOption)</f>
        <v>46377</v>
      </c>
      <c r="C155" s="103">
        <v>46378</v>
      </c>
      <c r="D155" s="103">
        <v>46379</v>
      </c>
      <c r="E155" s="103">
        <v>46380</v>
      </c>
      <c r="F155" s="104">
        <v>46381</v>
      </c>
      <c r="G155" s="104">
        <v>46382</v>
      </c>
      <c r="H155" s="38">
        <v>46383</v>
      </c>
    </row>
    <row r="156" spans="2:8" s="24" customFormat="1" ht="51" customHeight="1" x14ac:dyDescent="0.3">
      <c r="B156" s="140" t="s">
        <v>70</v>
      </c>
      <c r="C156" s="140" t="s">
        <v>70</v>
      </c>
      <c r="D156" s="140" t="s">
        <v>70</v>
      </c>
      <c r="E156" s="131" t="s">
        <v>70</v>
      </c>
      <c r="F156" s="134" t="s">
        <v>71</v>
      </c>
      <c r="G156" s="40" t="s">
        <v>72</v>
      </c>
      <c r="H156" s="221"/>
    </row>
    <row r="157" spans="2:8" s="79" customFormat="1" ht="24" customHeight="1" x14ac:dyDescent="0.4">
      <c r="B157" s="113">
        <f t="array" ref="B157:H157">Days+29+DATE(Calendar10Year,Calendar10MonthOption,1)-WEEKDAY(DATE(Calendar10Year,Calendar10MonthOption,1),WeekdayOption)</f>
        <v>46384</v>
      </c>
      <c r="C157" s="103">
        <v>46385</v>
      </c>
      <c r="D157" s="103">
        <v>46386</v>
      </c>
      <c r="E157" s="103">
        <v>46387</v>
      </c>
      <c r="F157" s="118">
        <v>46388</v>
      </c>
      <c r="G157" s="118">
        <v>46389</v>
      </c>
      <c r="H157" s="222">
        <v>46390</v>
      </c>
    </row>
    <row r="158" spans="2:8" s="24" customFormat="1" ht="51" customHeight="1" x14ac:dyDescent="0.3">
      <c r="B158" s="128"/>
      <c r="C158" s="158"/>
      <c r="D158" s="129"/>
      <c r="E158" s="131"/>
      <c r="F158" s="163"/>
      <c r="G158" s="202"/>
      <c r="H158" s="31"/>
    </row>
    <row r="159" spans="2:8" s="79" customFormat="1" ht="93.9" customHeight="1" x14ac:dyDescent="0.4">
      <c r="B159" s="223">
        <f t="array" ref="B159:C159">Days+36+DATE(Calendar10Year,Calendar10MonthOption,1)-WEEKDAY(DATE(Calendar10Year,Calendar10MonthOption,1),WeekdayOption)</f>
        <v>46391</v>
      </c>
      <c r="C159" s="224">
        <v>46392</v>
      </c>
      <c r="D159" s="225" t="s">
        <v>73</v>
      </c>
      <c r="E159" s="211"/>
      <c r="F159" s="211"/>
      <c r="G159" s="211"/>
      <c r="H159" s="212"/>
    </row>
    <row r="160" spans="2:8" s="24" customFormat="1" ht="31.5" hidden="1" customHeight="1" x14ac:dyDescent="0.3">
      <c r="B160" s="172"/>
      <c r="C160" s="226"/>
      <c r="D160" s="227"/>
      <c r="E160" s="227"/>
      <c r="F160" s="227"/>
      <c r="G160" s="227"/>
      <c r="H160" s="228"/>
    </row>
    <row r="161" spans="2:8" s="9" customFormat="1" ht="9" customHeight="1" thickBot="1" x14ac:dyDescent="0.35">
      <c r="B161" s="229"/>
      <c r="C161" s="89"/>
      <c r="D161" s="90"/>
      <c r="E161" s="90"/>
      <c r="F161" s="90"/>
      <c r="G161" s="90"/>
      <c r="H161" s="230"/>
    </row>
    <row r="162" spans="2:8" ht="95.25" customHeight="1" x14ac:dyDescent="1">
      <c r="B162" s="231">
        <v>2027</v>
      </c>
      <c r="C162" s="232" t="s">
        <v>74</v>
      </c>
      <c r="D162" s="233"/>
      <c r="E162" s="234" t="s">
        <v>75</v>
      </c>
      <c r="F162" s="234"/>
      <c r="G162" s="234"/>
      <c r="H162" s="235"/>
    </row>
    <row r="163" spans="2:8" ht="9" customHeight="1" x14ac:dyDescent="0.3">
      <c r="B163" s="8"/>
      <c r="C163" s="9"/>
      <c r="D163" s="9"/>
      <c r="E163" s="9"/>
      <c r="F163" s="9"/>
      <c r="G163" s="9"/>
      <c r="H163" s="10"/>
    </row>
    <row r="164" spans="2:8" s="11" customFormat="1" ht="24" customHeight="1" x14ac:dyDescent="0.3">
      <c r="B164" s="12" t="str">
        <f t="shared" ref="B164:H164" si="9">TEXT(B165,"dddd")</f>
        <v>Monday</v>
      </c>
      <c r="C164" s="13" t="str">
        <f t="shared" si="9"/>
        <v>Tuesday</v>
      </c>
      <c r="D164" s="14" t="str">
        <f t="shared" si="9"/>
        <v>Wednesday</v>
      </c>
      <c r="E164" s="13" t="str">
        <f t="shared" si="9"/>
        <v>Thursday</v>
      </c>
      <c r="F164" s="14" t="str">
        <f t="shared" si="9"/>
        <v>Friday</v>
      </c>
      <c r="G164" s="13" t="str">
        <f t="shared" si="9"/>
        <v>Saturday</v>
      </c>
      <c r="H164" s="15" t="str">
        <f t="shared" si="9"/>
        <v>Sunday</v>
      </c>
    </row>
    <row r="165" spans="2:8" s="79" customFormat="1" ht="24" customHeight="1" x14ac:dyDescent="0.4">
      <c r="B165" s="184">
        <f t="array" ref="B165:H165">Days+1+DATE(Calendar11Year,Calendar11MonthOption,1)-WEEKDAY(DATE(Calendar11Year,Calendar11MonthOption,1),WeekdayOption)</f>
        <v>46384</v>
      </c>
      <c r="C165" s="185">
        <v>46385</v>
      </c>
      <c r="D165" s="185">
        <v>46386</v>
      </c>
      <c r="E165" s="185">
        <v>46387</v>
      </c>
      <c r="F165" s="188">
        <v>46388</v>
      </c>
      <c r="G165" s="186">
        <v>46389</v>
      </c>
      <c r="H165" s="236">
        <v>46390</v>
      </c>
    </row>
    <row r="166" spans="2:8" s="24" customFormat="1" ht="70.5" customHeight="1" x14ac:dyDescent="0.3">
      <c r="B166" s="190"/>
      <c r="C166" s="191"/>
      <c r="D166" s="237"/>
      <c r="E166" s="237"/>
      <c r="F166" s="237" t="s">
        <v>76</v>
      </c>
      <c r="G166" s="238" t="s">
        <v>29</v>
      </c>
      <c r="H166" s="43"/>
    </row>
    <row r="167" spans="2:8" s="79" customFormat="1" ht="24" customHeight="1" x14ac:dyDescent="0.4">
      <c r="B167" s="200">
        <f t="array" ref="B167:H167">Days+8+DATE(Calendar11Year,Calendar11MonthOption,1)-WEEKDAY(DATE(Calendar11Year,Calendar11MonthOption,1),WeekdayOption)</f>
        <v>46391</v>
      </c>
      <c r="C167" s="198">
        <v>46392</v>
      </c>
      <c r="D167" s="198">
        <v>46393</v>
      </c>
      <c r="E167" s="198">
        <v>46394</v>
      </c>
      <c r="F167" s="198">
        <v>46395</v>
      </c>
      <c r="G167" s="195">
        <v>46396</v>
      </c>
      <c r="H167" s="196">
        <v>46397</v>
      </c>
    </row>
    <row r="168" spans="2:8" s="24" customFormat="1" ht="51" customHeight="1" x14ac:dyDescent="0.3">
      <c r="B168" s="239"/>
      <c r="C168" s="180"/>
      <c r="D168" s="239"/>
      <c r="E168" s="239"/>
      <c r="F168" s="239"/>
      <c r="G168" s="40" t="s">
        <v>77</v>
      </c>
      <c r="H168" s="64"/>
    </row>
    <row r="169" spans="2:8" s="244" customFormat="1" ht="24" customHeight="1" x14ac:dyDescent="0.4">
      <c r="B169" s="240">
        <f t="array" ref="B169:H169">Days+15+DATE(Calendar11Year,Calendar11MonthOption,1)-WEEKDAY(DATE(Calendar11Year,Calendar11MonthOption,1),WeekdayOption)</f>
        <v>46398</v>
      </c>
      <c r="C169" s="241">
        <v>46399</v>
      </c>
      <c r="D169" s="242">
        <v>46400</v>
      </c>
      <c r="E169" s="242">
        <v>46401</v>
      </c>
      <c r="F169" s="242">
        <v>46402</v>
      </c>
      <c r="G169" s="242">
        <v>46403</v>
      </c>
      <c r="H169" s="243">
        <v>46404</v>
      </c>
    </row>
    <row r="170" spans="2:8" s="24" customFormat="1" ht="51" customHeight="1" x14ac:dyDescent="0.3">
      <c r="B170" s="239"/>
      <c r="C170" s="180"/>
      <c r="D170" s="192" t="s">
        <v>78</v>
      </c>
      <c r="E170" s="192" t="s">
        <v>78</v>
      </c>
      <c r="F170" s="192" t="s">
        <v>79</v>
      </c>
      <c r="G170" s="192" t="s">
        <v>78</v>
      </c>
      <c r="H170" s="181" t="s">
        <v>78</v>
      </c>
    </row>
    <row r="171" spans="2:8" s="79" customFormat="1" ht="24" customHeight="1" x14ac:dyDescent="0.4">
      <c r="B171" s="193">
        <f t="array" ref="B171:H171">Days+22+DATE(Calendar11Year,Calendar11MonthOption,1)-WEEKDAY(DATE(Calendar11Year,Calendar11MonthOption,1),WeekdayOption)</f>
        <v>46405</v>
      </c>
      <c r="C171" s="197">
        <v>46406</v>
      </c>
      <c r="D171" s="198">
        <v>46407</v>
      </c>
      <c r="E171" s="198">
        <v>46408</v>
      </c>
      <c r="F171" s="198">
        <v>46409</v>
      </c>
      <c r="G171" s="245">
        <v>46410</v>
      </c>
      <c r="H171" s="196">
        <v>46411</v>
      </c>
    </row>
    <row r="172" spans="2:8" s="24" customFormat="1" ht="51.6" customHeight="1" x14ac:dyDescent="0.3">
      <c r="B172" s="246" t="s">
        <v>80</v>
      </c>
      <c r="C172" s="192"/>
      <c r="D172" s="191"/>
      <c r="E172" s="238"/>
      <c r="F172" s="247"/>
      <c r="G172" s="144" t="s">
        <v>81</v>
      </c>
      <c r="H172" s="248"/>
    </row>
    <row r="173" spans="2:8" s="79" customFormat="1" ht="24" customHeight="1" x14ac:dyDescent="0.4">
      <c r="B173" s="200">
        <f t="array" ref="B173:H173">Days+29+DATE(Calendar11Year,Calendar11MonthOption,1)-WEEKDAY(DATE(Calendar11Year,Calendar11MonthOption,1),WeekdayOption)</f>
        <v>46412</v>
      </c>
      <c r="C173" s="198">
        <v>46413</v>
      </c>
      <c r="D173" s="198">
        <v>46414</v>
      </c>
      <c r="E173" s="198">
        <v>46415</v>
      </c>
      <c r="F173" s="198">
        <v>46416</v>
      </c>
      <c r="G173" s="198">
        <v>46417</v>
      </c>
      <c r="H173" s="249">
        <v>46418</v>
      </c>
    </row>
    <row r="174" spans="2:8" s="24" customFormat="1" ht="71.400000000000006" customHeight="1" x14ac:dyDescent="0.3">
      <c r="B174" s="250"/>
      <c r="C174" s="239" t="s">
        <v>82</v>
      </c>
      <c r="D174" s="238"/>
      <c r="E174" s="238"/>
      <c r="F174" s="238"/>
      <c r="G174" s="175" t="s">
        <v>29</v>
      </c>
      <c r="H174" s="251"/>
    </row>
    <row r="175" spans="2:8" s="79" customFormat="1" ht="36.6" customHeight="1" x14ac:dyDescent="0.4">
      <c r="B175" s="204">
        <f t="array" ref="B175:C175">Days+36+DATE(Calendar11Year,Calendar11MonthOption,1)-WEEKDAY(DATE(Calendar11Year,Calendar11MonthOption,1),WeekdayOption)</f>
        <v>46419</v>
      </c>
      <c r="C175" s="205">
        <v>46420</v>
      </c>
      <c r="D175" s="216" t="s">
        <v>37</v>
      </c>
      <c r="E175" s="216"/>
      <c r="F175" s="216"/>
      <c r="G175" s="216"/>
      <c r="H175" s="217"/>
    </row>
    <row r="176" spans="2:8" s="24" customFormat="1" ht="69.900000000000006" customHeight="1" x14ac:dyDescent="0.3">
      <c r="B176" s="252"/>
      <c r="C176" s="253"/>
      <c r="D176" s="126"/>
      <c r="E176" s="126"/>
      <c r="F176" s="126"/>
      <c r="G176" s="126"/>
      <c r="H176" s="127"/>
    </row>
    <row r="177" spans="2:8" s="9" customFormat="1" ht="6.9" customHeight="1" x14ac:dyDescent="0.3">
      <c r="B177" s="89"/>
      <c r="C177" s="89"/>
      <c r="D177" s="90"/>
      <c r="E177" s="90"/>
      <c r="F177" s="90"/>
      <c r="G177" s="90"/>
      <c r="H177" s="90"/>
    </row>
    <row r="178" spans="2:8" ht="95.25" customHeight="1" x14ac:dyDescent="1">
      <c r="B178" s="254">
        <v>2027</v>
      </c>
      <c r="C178" s="4" t="s">
        <v>83</v>
      </c>
      <c r="D178" s="5"/>
      <c r="E178" s="6" t="s">
        <v>84</v>
      </c>
      <c r="F178" s="6"/>
      <c r="G178" s="6"/>
      <c r="H178" s="7"/>
    </row>
    <row r="179" spans="2:8" ht="9" customHeight="1" x14ac:dyDescent="0.3">
      <c r="B179" s="8"/>
      <c r="C179" s="9"/>
      <c r="D179" s="9"/>
      <c r="E179" s="9"/>
      <c r="F179" s="9"/>
      <c r="G179" s="9"/>
      <c r="H179" s="10"/>
    </row>
    <row r="180" spans="2:8" s="11" customFormat="1" ht="24" customHeight="1" x14ac:dyDescent="0.3">
      <c r="B180" s="12" t="str">
        <f t="shared" ref="B180:H180" si="10">TEXT(B181,"dddd")</f>
        <v>Monday</v>
      </c>
      <c r="C180" s="13" t="str">
        <f t="shared" si="10"/>
        <v>Tuesday</v>
      </c>
      <c r="D180" s="14" t="str">
        <f t="shared" si="10"/>
        <v>Wednesday</v>
      </c>
      <c r="E180" s="13" t="str">
        <f t="shared" si="10"/>
        <v>Thursday</v>
      </c>
      <c r="F180" s="14" t="str">
        <f t="shared" si="10"/>
        <v>Friday</v>
      </c>
      <c r="G180" s="13" t="str">
        <f t="shared" si="10"/>
        <v>Saturday</v>
      </c>
      <c r="H180" s="15" t="str">
        <f t="shared" si="10"/>
        <v>Sunday</v>
      </c>
    </row>
    <row r="181" spans="2:8" s="79" customFormat="1" ht="24" customHeight="1" x14ac:dyDescent="0.4">
      <c r="B181" s="102">
        <f t="array" ref="B181:H181">Days+1+DATE(Calendar12Year,Calendar12MonthOption,1)-WEEKDAY(DATE(Calendar12Year,Calendar12MonthOption,1),WeekdayOption)</f>
        <v>46419</v>
      </c>
      <c r="C181" s="94">
        <v>46420</v>
      </c>
      <c r="D181" s="94">
        <v>46421</v>
      </c>
      <c r="E181" s="94">
        <v>46422</v>
      </c>
      <c r="F181" s="94">
        <v>46423</v>
      </c>
      <c r="G181" s="94">
        <v>46424</v>
      </c>
      <c r="H181" s="23">
        <v>46425</v>
      </c>
    </row>
    <row r="182" spans="2:8" s="24" customFormat="1" ht="51" customHeight="1" x14ac:dyDescent="0.3">
      <c r="B182" s="172"/>
      <c r="C182" s="173"/>
      <c r="D182" s="180"/>
      <c r="E182" s="175"/>
      <c r="F182" s="180"/>
      <c r="G182" s="180"/>
      <c r="H182" s="220"/>
    </row>
    <row r="183" spans="2:8" s="79" customFormat="1" ht="24" customHeight="1" x14ac:dyDescent="0.4">
      <c r="B183" s="113">
        <f t="array" ref="B183:H183">Days+8+DATE(Calendar12Year,Calendar12MonthOption,1)-WEEKDAY(DATE(Calendar12Year,Calendar12MonthOption,1),WeekdayOption)</f>
        <v>46426</v>
      </c>
      <c r="C183" s="103">
        <v>46427</v>
      </c>
      <c r="D183" s="103">
        <v>46428</v>
      </c>
      <c r="E183" s="103">
        <v>46429</v>
      </c>
      <c r="F183" s="103">
        <v>46430</v>
      </c>
      <c r="G183" s="104">
        <v>46431</v>
      </c>
      <c r="H183" s="38">
        <v>46432</v>
      </c>
    </row>
    <row r="184" spans="2:8" s="24" customFormat="1" ht="51" customHeight="1" x14ac:dyDescent="0.3">
      <c r="B184" s="215"/>
      <c r="C184" s="129"/>
      <c r="D184" s="180"/>
      <c r="E184" s="131"/>
      <c r="F184" s="180"/>
      <c r="G184" s="255" t="s">
        <v>5</v>
      </c>
      <c r="H184" s="132"/>
    </row>
    <row r="185" spans="2:8" s="79" customFormat="1" ht="24" customHeight="1" x14ac:dyDescent="0.4">
      <c r="B185" s="113">
        <f t="array" ref="B185:H185">Days+15+DATE(Calendar12Year,Calendar12MonthOption,1)-WEEKDAY(DATE(Calendar12Year,Calendar12MonthOption,1),WeekdayOption)</f>
        <v>46433</v>
      </c>
      <c r="C185" s="103">
        <v>46434</v>
      </c>
      <c r="D185" s="103">
        <v>46435</v>
      </c>
      <c r="E185" s="103">
        <v>46436</v>
      </c>
      <c r="F185" s="103">
        <v>46437</v>
      </c>
      <c r="G185" s="108">
        <v>46438</v>
      </c>
      <c r="H185" s="38">
        <v>46439</v>
      </c>
    </row>
    <row r="186" spans="2:8" s="24" customFormat="1" ht="51" customHeight="1" x14ac:dyDescent="0.3">
      <c r="B186" s="215"/>
      <c r="C186" s="129"/>
      <c r="E186" s="131"/>
      <c r="F186" s="180"/>
      <c r="G186" s="144" t="s">
        <v>29</v>
      </c>
      <c r="H186" s="64"/>
    </row>
    <row r="187" spans="2:8" s="79" customFormat="1" ht="24" customHeight="1" x14ac:dyDescent="0.4">
      <c r="B187" s="113">
        <f t="array" ref="B187:H187">Days+22+DATE(Calendar12Year,Calendar12MonthOption,1)-WEEKDAY(DATE(Calendar12Year,Calendar12MonthOption,1),WeekdayOption)</f>
        <v>46440</v>
      </c>
      <c r="C187" s="103">
        <v>46441</v>
      </c>
      <c r="D187" s="103">
        <v>46442</v>
      </c>
      <c r="E187" s="103">
        <v>46443</v>
      </c>
      <c r="F187" s="103">
        <v>46444</v>
      </c>
      <c r="G187" s="103">
        <v>46445</v>
      </c>
      <c r="H187" s="38">
        <v>46446</v>
      </c>
    </row>
    <row r="188" spans="2:8" s="24" customFormat="1" ht="71.400000000000006" customHeight="1" x14ac:dyDescent="0.3">
      <c r="B188" s="215"/>
      <c r="C188" s="129"/>
      <c r="D188" s="131"/>
      <c r="E188" s="129"/>
      <c r="F188" s="164"/>
      <c r="G188" s="256" t="s">
        <v>85</v>
      </c>
      <c r="H188" s="164"/>
    </row>
    <row r="189" spans="2:8" s="79" customFormat="1" ht="24" customHeight="1" x14ac:dyDescent="0.4">
      <c r="B189" s="257"/>
      <c r="C189" s="118"/>
      <c r="D189" s="118"/>
      <c r="E189" s="118"/>
      <c r="F189" s="118"/>
      <c r="G189" s="182"/>
      <c r="H189" s="222"/>
    </row>
    <row r="190" spans="2:8" s="24" customFormat="1" ht="51" customHeight="1" x14ac:dyDescent="0.3">
      <c r="B190" s="258"/>
      <c r="C190" s="179"/>
      <c r="D190" s="179"/>
      <c r="E190" s="179"/>
      <c r="F190" s="259"/>
      <c r="G190" s="260" t="s">
        <v>0</v>
      </c>
      <c r="H190" s="183"/>
    </row>
    <row r="191" spans="2:8" s="79" customFormat="1" ht="92.4" customHeight="1" x14ac:dyDescent="0.4">
      <c r="B191" s="223"/>
      <c r="C191" s="224"/>
      <c r="D191" s="261" t="s">
        <v>73</v>
      </c>
      <c r="E191" s="261"/>
      <c r="F191" s="261"/>
      <c r="G191" s="261"/>
      <c r="H191" s="262"/>
    </row>
    <row r="192" spans="2:8" s="79" customFormat="1" ht="6" customHeight="1" x14ac:dyDescent="0.4">
      <c r="B192" s="102"/>
      <c r="C192" s="94"/>
      <c r="D192" s="263"/>
      <c r="E192" s="263"/>
      <c r="F192" s="263"/>
      <c r="G192" s="263"/>
      <c r="H192" s="264"/>
    </row>
    <row r="193" spans="2:8" s="24" customFormat="1" ht="48.9" hidden="1" customHeight="1" x14ac:dyDescent="0.3">
      <c r="B193" s="138"/>
      <c r="C193" s="139"/>
      <c r="D193" s="126"/>
      <c r="E193" s="126"/>
      <c r="F193" s="126"/>
      <c r="G193" s="126"/>
      <c r="H193" s="127"/>
    </row>
    <row r="194" spans="2:8" ht="90" customHeight="1" x14ac:dyDescent="1">
      <c r="B194" s="265">
        <v>2027</v>
      </c>
      <c r="C194" s="4" t="s">
        <v>1</v>
      </c>
      <c r="D194" s="5"/>
      <c r="E194" s="6" t="s">
        <v>86</v>
      </c>
      <c r="F194" s="6"/>
      <c r="G194" s="6"/>
      <c r="H194" s="7"/>
    </row>
    <row r="195" spans="2:8" ht="11.1" customHeight="1" x14ac:dyDescent="0.3">
      <c r="B195" s="8"/>
      <c r="C195" s="9"/>
      <c r="D195" s="9"/>
      <c r="E195" s="9"/>
      <c r="F195" s="9"/>
      <c r="G195" s="9"/>
      <c r="H195" s="10"/>
    </row>
    <row r="196" spans="2:8" ht="41.4" customHeight="1" x14ac:dyDescent="0.3">
      <c r="B196" s="12" t="str">
        <f t="shared" ref="B196:H196" si="11">TEXT(B197,"dddd")</f>
        <v>Monday</v>
      </c>
      <c r="C196" s="13" t="str">
        <f t="shared" si="11"/>
        <v>Tuesday</v>
      </c>
      <c r="D196" s="14" t="str">
        <f t="shared" si="11"/>
        <v>Wednesday</v>
      </c>
      <c r="E196" s="13" t="str">
        <f t="shared" si="11"/>
        <v>Thursday</v>
      </c>
      <c r="F196" s="14" t="str">
        <f t="shared" si="11"/>
        <v>Friday</v>
      </c>
      <c r="G196" s="13" t="str">
        <f t="shared" si="11"/>
        <v>Saturday</v>
      </c>
      <c r="H196" s="15" t="str">
        <f t="shared" si="11"/>
        <v>Sunday</v>
      </c>
    </row>
    <row r="197" spans="2:8" ht="41.4" customHeight="1" x14ac:dyDescent="0.4">
      <c r="B197" s="102">
        <f t="array" ref="B197:H197">Days+1+DATE(Calendar12Year,Calendar12MonthOption,1)-WEEKDAY(DATE(Calendar12Year,Calendar12MonthOption,1),WeekdayOption)</f>
        <v>46419</v>
      </c>
      <c r="C197" s="94">
        <v>46420</v>
      </c>
      <c r="D197" s="94">
        <v>46421</v>
      </c>
      <c r="E197" s="94">
        <v>46422</v>
      </c>
      <c r="F197" s="94">
        <v>46423</v>
      </c>
      <c r="G197" s="95">
        <v>46424</v>
      </c>
      <c r="H197" s="23">
        <v>46425</v>
      </c>
    </row>
    <row r="198" spans="2:8" ht="42.6" customHeight="1" x14ac:dyDescent="0.3">
      <c r="B198" s="172"/>
      <c r="C198" s="173"/>
      <c r="D198" s="180"/>
      <c r="E198" s="9"/>
      <c r="F198" s="266"/>
      <c r="G198" s="267" t="s">
        <v>87</v>
      </c>
      <c r="H198" s="267" t="s">
        <v>4</v>
      </c>
    </row>
    <row r="199" spans="2:8" ht="41.4" customHeight="1" x14ac:dyDescent="0.3">
      <c r="B199" s="268">
        <f t="array" ref="B199:H199">Days+8+DATE(Calendar12Year,Calendar12MonthOption,1)-WEEKDAY(DATE(Calendar12Year,Calendar12MonthOption,1),WeekdayOption)</f>
        <v>46426</v>
      </c>
      <c r="C199" s="269">
        <v>46427</v>
      </c>
      <c r="D199" s="270">
        <v>46428</v>
      </c>
      <c r="E199" s="270">
        <v>46429</v>
      </c>
      <c r="F199" s="270">
        <v>46430</v>
      </c>
      <c r="G199" s="271">
        <v>46431</v>
      </c>
      <c r="H199" s="272">
        <v>46432</v>
      </c>
    </row>
    <row r="200" spans="2:8" ht="41.4" customHeight="1" x14ac:dyDescent="0.3">
      <c r="B200" s="266" t="s">
        <v>88</v>
      </c>
      <c r="C200" s="266" t="s">
        <v>88</v>
      </c>
      <c r="D200" s="266" t="s">
        <v>88</v>
      </c>
      <c r="E200" s="266" t="s">
        <v>88</v>
      </c>
      <c r="F200" s="266" t="s">
        <v>88</v>
      </c>
      <c r="G200" s="40" t="s">
        <v>5</v>
      </c>
      <c r="H200" s="64"/>
    </row>
    <row r="201" spans="2:8" ht="41.4" customHeight="1" x14ac:dyDescent="0.4">
      <c r="B201" s="268">
        <f t="array" ref="B201:H201">Days+15+DATE(Calendar12Year,Calendar12MonthOption,1)-WEEKDAY(DATE(Calendar12Year,Calendar12MonthOption,1),WeekdayOption)</f>
        <v>46433</v>
      </c>
      <c r="C201" s="270">
        <v>46434</v>
      </c>
      <c r="D201" s="270">
        <v>46435</v>
      </c>
      <c r="E201" s="270">
        <v>46436</v>
      </c>
      <c r="F201" s="270">
        <v>46437</v>
      </c>
      <c r="G201" s="270">
        <v>46438</v>
      </c>
      <c r="H201" s="38">
        <v>46439</v>
      </c>
    </row>
    <row r="202" spans="2:8" ht="41.25" customHeight="1" x14ac:dyDescent="0.3">
      <c r="B202" s="266" t="s">
        <v>88</v>
      </c>
      <c r="C202" s="40" t="s">
        <v>89</v>
      </c>
      <c r="D202" s="40" t="s">
        <v>89</v>
      </c>
      <c r="E202" s="40" t="s">
        <v>89</v>
      </c>
      <c r="F202" s="40" t="s">
        <v>89</v>
      </c>
      <c r="G202" s="40" t="s">
        <v>89</v>
      </c>
      <c r="H202" s="40" t="s">
        <v>89</v>
      </c>
    </row>
    <row r="203" spans="2:8" ht="18.899999999999999" customHeight="1" x14ac:dyDescent="0.4">
      <c r="B203" s="113">
        <f t="array" ref="B203:H203">Days+22+DATE(Calendar12Year,Calendar12MonthOption,1)-WEEKDAY(DATE(Calendar12Year,Calendar12MonthOption,1),WeekdayOption)</f>
        <v>46440</v>
      </c>
      <c r="C203" s="103">
        <v>46441</v>
      </c>
      <c r="D203" s="103">
        <v>46442</v>
      </c>
      <c r="E203" s="103">
        <v>46443</v>
      </c>
      <c r="F203" s="103">
        <v>46444</v>
      </c>
      <c r="G203" s="107">
        <v>46445</v>
      </c>
      <c r="H203" s="38">
        <v>46446</v>
      </c>
    </row>
    <row r="204" spans="2:8" ht="57" customHeight="1" x14ac:dyDescent="0.3">
      <c r="B204" s="99" t="s">
        <v>90</v>
      </c>
      <c r="C204" s="40" t="s">
        <v>89</v>
      </c>
      <c r="D204" s="40" t="s">
        <v>89</v>
      </c>
      <c r="E204" s="40" t="s">
        <v>89</v>
      </c>
      <c r="F204" s="40" t="s">
        <v>12</v>
      </c>
      <c r="G204" s="144" t="s">
        <v>91</v>
      </c>
      <c r="H204" s="40" t="s">
        <v>92</v>
      </c>
    </row>
    <row r="205" spans="2:8" s="278" customFormat="1" ht="23.4" customHeight="1" x14ac:dyDescent="0.4">
      <c r="B205" s="273">
        <v>29</v>
      </c>
      <c r="C205" s="274">
        <v>30</v>
      </c>
      <c r="D205" s="274">
        <v>31</v>
      </c>
      <c r="E205" s="275"/>
      <c r="F205" s="276"/>
      <c r="G205" s="276"/>
      <c r="H205" s="277"/>
    </row>
    <row r="206" spans="2:8" ht="6.9" customHeight="1" x14ac:dyDescent="0.3">
      <c r="B206" s="128"/>
      <c r="C206" s="128"/>
      <c r="D206" s="128"/>
      <c r="E206" s="279"/>
      <c r="F206" s="280"/>
      <c r="G206" s="280"/>
      <c r="H206" s="281"/>
    </row>
    <row r="207" spans="2:8" ht="50.1" customHeight="1" x14ac:dyDescent="0.3">
      <c r="B207" s="99"/>
      <c r="C207" s="40"/>
      <c r="D207" s="40"/>
      <c r="E207" s="40"/>
      <c r="F207" s="40"/>
      <c r="G207" s="144"/>
      <c r="H207" s="40"/>
    </row>
  </sheetData>
  <mergeCells count="36">
    <mergeCell ref="D176:H176"/>
    <mergeCell ref="E178:H178"/>
    <mergeCell ref="D191:H191"/>
    <mergeCell ref="D193:H193"/>
    <mergeCell ref="E194:H194"/>
    <mergeCell ref="E205:H206"/>
    <mergeCell ref="D143:H143"/>
    <mergeCell ref="D144:H144"/>
    <mergeCell ref="E146:H146"/>
    <mergeCell ref="D159:H159"/>
    <mergeCell ref="E162:H162"/>
    <mergeCell ref="D175:H175"/>
    <mergeCell ref="D111:H111"/>
    <mergeCell ref="D112:H112"/>
    <mergeCell ref="E114:H114"/>
    <mergeCell ref="D127:H127"/>
    <mergeCell ref="D128:H128"/>
    <mergeCell ref="E130:H130"/>
    <mergeCell ref="D79:H79"/>
    <mergeCell ref="D80:H80"/>
    <mergeCell ref="E82:H82"/>
    <mergeCell ref="D95:H95"/>
    <mergeCell ref="D96:H96"/>
    <mergeCell ref="E98:H98"/>
    <mergeCell ref="D47:H47"/>
    <mergeCell ref="D48:H48"/>
    <mergeCell ref="E50:H50"/>
    <mergeCell ref="D63:H63"/>
    <mergeCell ref="D64:H64"/>
    <mergeCell ref="E66:H66"/>
    <mergeCell ref="E2:H2"/>
    <mergeCell ref="D15:H15"/>
    <mergeCell ref="E18:H18"/>
    <mergeCell ref="D31:H31"/>
    <mergeCell ref="D32:H32"/>
    <mergeCell ref="E34:H34"/>
  </mergeCells>
  <conditionalFormatting sqref="B5:H5 B7:H7 B9:H9 B11:H11 B13:H13 B15:C15">
    <cfRule type="expression" dxfId="12" priority="13">
      <formula>MONTH(B5)&lt;&gt;Calendar1MonthOption</formula>
    </cfRule>
  </conditionalFormatting>
  <conditionalFormatting sqref="B21:H21 B23:H23 B25:H25 B27:H27 B29:H29 B31:C31">
    <cfRule type="expression" dxfId="11" priority="12">
      <formula>MONTH(B21)&lt;&gt;Calendar2MonthOption</formula>
    </cfRule>
  </conditionalFormatting>
  <conditionalFormatting sqref="B37:H37 B39:H39 B41:H41 B43:H43 B45:H45 B47:C47">
    <cfRule type="expression" dxfId="10" priority="11">
      <formula>MONTH(B37)&lt;&gt;Calendar3MonthOption</formula>
    </cfRule>
  </conditionalFormatting>
  <conditionalFormatting sqref="B53:H53 B55:H55 B57:H57 B59:H59 B61:H61 B63:C63">
    <cfRule type="expression" dxfId="9" priority="10">
      <formula>MONTH(B53)&lt;&gt;Calendar4MonthOption</formula>
    </cfRule>
  </conditionalFormatting>
  <conditionalFormatting sqref="B69:H69 B71:H71 B73:H73 B75:H75 B77:H77 B79:C79">
    <cfRule type="expression" dxfId="8" priority="9">
      <formula>MONTH(B69)&lt;&gt;Calendar5MonthOption</formula>
    </cfRule>
  </conditionalFormatting>
  <conditionalFormatting sqref="B85:H85 B87:H87 B89:H89 B91:H91 B93:H93 B95:C95">
    <cfRule type="expression" dxfId="7" priority="8">
      <formula>MONTH(B85)&lt;&gt;Calendar6MonthOption</formula>
    </cfRule>
  </conditionalFormatting>
  <conditionalFormatting sqref="B101:H101 B103:H103 B105:H105 B107:H107 B109:H109 B111:C111">
    <cfRule type="expression" dxfId="6" priority="7">
      <formula>MONTH(B101)&lt;&gt;Calendar7MonthOption</formula>
    </cfRule>
  </conditionalFormatting>
  <conditionalFormatting sqref="B117:H117 B119:H119 B121:H121 B123:H123 B125:H125 B127:C127">
    <cfRule type="expression" dxfId="5" priority="6">
      <formula>MONTH(B117)&lt;&gt;Calendar8MonthOption</formula>
    </cfRule>
  </conditionalFormatting>
  <conditionalFormatting sqref="B133:H133 B135:H135 B137:H137 B139:H139 B141:H141 B143:C143">
    <cfRule type="expression" dxfId="4" priority="5">
      <formula>MONTH(B133)&lt;&gt;Calendar9MonthOption</formula>
    </cfRule>
  </conditionalFormatting>
  <conditionalFormatting sqref="B149:H149 B151:H151 B153:H153 B155:H155 B157:H157 B159:C159">
    <cfRule type="expression" dxfId="3" priority="4">
      <formula>MONTH(B149)&lt;&gt;Calendar10MonthOption</formula>
    </cfRule>
  </conditionalFormatting>
  <conditionalFormatting sqref="B165:H165 B167:H167 B169:H169 B171:H171 B173:H173 B175:C175">
    <cfRule type="expression" dxfId="2" priority="3">
      <formula>MONTH(B165)&lt;&gt;Calendar11MonthOption</formula>
    </cfRule>
  </conditionalFormatting>
  <conditionalFormatting sqref="B181:H181 B183:H183 B185:H185 B187:H187 B189:H189 B191:C192">
    <cfRule type="expression" dxfId="1" priority="2">
      <formula>MONTH(B181)&lt;&gt;Calendar12MonthOption</formula>
    </cfRule>
  </conditionalFormatting>
  <conditionalFormatting sqref="B197:H197 B199:H199 B201:H201 B203:H203">
    <cfRule type="expression" dxfId="0" priority="1">
      <formula>MONTH(B197)&lt;&gt;Calendar12MonthOption</formula>
    </cfRule>
  </conditionalFormatting>
  <dataValidations count="6">
    <dataValidation allowBlank="1" showInput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BD31A96E-7A0D-4AD6-8AA7-E3A1275F06CB}"/>
    <dataValidation allowBlank="1" showInputMessage="1" prompt="Enter monthly Notes in this cell" sqref="D17:H17 IZ17:JD17 SV17:SZ17 ACR17:ACV17 AMN17:AMR17 AWJ17:AWN17 BGF17:BGJ17 BQB17:BQF17 BZX17:CAB17 CJT17:CJX17 CTP17:CTT17 DDL17:DDP17 DNH17:DNL17 DXD17:DXH17 EGZ17:EHD17 EQV17:EQZ17 FAR17:FAV17 FKN17:FKR17 FUJ17:FUN17 GEF17:GEJ17 GOB17:GOF17 GXX17:GYB17 HHT17:HHX17 HRP17:HRT17 IBL17:IBP17 ILH17:ILL17 IVD17:IVH17 JEZ17:JFD17 JOV17:JOZ17 JYR17:JYV17 KIN17:KIR17 KSJ17:KSN17 LCF17:LCJ17 LMB17:LMF17 LVX17:LWB17 MFT17:MFX17 MPP17:MPT17 MZL17:MZP17 NJH17:NJL17 NTD17:NTH17 OCZ17:ODD17 OMV17:OMZ17 OWR17:OWV17 PGN17:PGR17 PQJ17:PQN17 QAF17:QAJ17 QKB17:QKF17 QTX17:QUB17 RDT17:RDX17 RNP17:RNT17 RXL17:RXP17 SHH17:SHL17 SRD17:SRH17 TAZ17:TBD17 TKV17:TKZ17 TUR17:TUV17 UEN17:UER17 UOJ17:UON17 UYF17:UYJ17 VIB17:VIF17 VRX17:VSB17 WBT17:WBX17 WLP17:WLT17 WVL17:WVP17 D65553:H65553 IZ65553:JD65553 SV65553:SZ65553 ACR65553:ACV65553 AMN65553:AMR65553 AWJ65553:AWN65553 BGF65553:BGJ65553 BQB65553:BQF65553 BZX65553:CAB65553 CJT65553:CJX65553 CTP65553:CTT65553 DDL65553:DDP65553 DNH65553:DNL65553 DXD65553:DXH65553 EGZ65553:EHD65553 EQV65553:EQZ65553 FAR65553:FAV65553 FKN65553:FKR65553 FUJ65553:FUN65553 GEF65553:GEJ65553 GOB65553:GOF65553 GXX65553:GYB65553 HHT65553:HHX65553 HRP65553:HRT65553 IBL65553:IBP65553 ILH65553:ILL65553 IVD65553:IVH65553 JEZ65553:JFD65553 JOV65553:JOZ65553 JYR65553:JYV65553 KIN65553:KIR65553 KSJ65553:KSN65553 LCF65553:LCJ65553 LMB65553:LMF65553 LVX65553:LWB65553 MFT65553:MFX65553 MPP65553:MPT65553 MZL65553:MZP65553 NJH65553:NJL65553 NTD65553:NTH65553 OCZ65553:ODD65553 OMV65553:OMZ65553 OWR65553:OWV65553 PGN65553:PGR65553 PQJ65553:PQN65553 QAF65553:QAJ65553 QKB65553:QKF65553 QTX65553:QUB65553 RDT65553:RDX65553 RNP65553:RNT65553 RXL65553:RXP65553 SHH65553:SHL65553 SRD65553:SRH65553 TAZ65553:TBD65553 TKV65553:TKZ65553 TUR65553:TUV65553 UEN65553:UER65553 UOJ65553:UON65553 UYF65553:UYJ65553 VIB65553:VIF65553 VRX65553:VSB65553 WBT65553:WBX65553 WLP65553:WLT65553 WVL65553:WVP65553 D131089:H131089 IZ131089:JD131089 SV131089:SZ131089 ACR131089:ACV131089 AMN131089:AMR131089 AWJ131089:AWN131089 BGF131089:BGJ131089 BQB131089:BQF131089 BZX131089:CAB131089 CJT131089:CJX131089 CTP131089:CTT131089 DDL131089:DDP131089 DNH131089:DNL131089 DXD131089:DXH131089 EGZ131089:EHD131089 EQV131089:EQZ131089 FAR131089:FAV131089 FKN131089:FKR131089 FUJ131089:FUN131089 GEF131089:GEJ131089 GOB131089:GOF131089 GXX131089:GYB131089 HHT131089:HHX131089 HRP131089:HRT131089 IBL131089:IBP131089 ILH131089:ILL131089 IVD131089:IVH131089 JEZ131089:JFD131089 JOV131089:JOZ131089 JYR131089:JYV131089 KIN131089:KIR131089 KSJ131089:KSN131089 LCF131089:LCJ131089 LMB131089:LMF131089 LVX131089:LWB131089 MFT131089:MFX131089 MPP131089:MPT131089 MZL131089:MZP131089 NJH131089:NJL131089 NTD131089:NTH131089 OCZ131089:ODD131089 OMV131089:OMZ131089 OWR131089:OWV131089 PGN131089:PGR131089 PQJ131089:PQN131089 QAF131089:QAJ131089 QKB131089:QKF131089 QTX131089:QUB131089 RDT131089:RDX131089 RNP131089:RNT131089 RXL131089:RXP131089 SHH131089:SHL131089 SRD131089:SRH131089 TAZ131089:TBD131089 TKV131089:TKZ131089 TUR131089:TUV131089 UEN131089:UER131089 UOJ131089:UON131089 UYF131089:UYJ131089 VIB131089:VIF131089 VRX131089:VSB131089 WBT131089:WBX131089 WLP131089:WLT131089 WVL131089:WVP131089 D196625:H196625 IZ196625:JD196625 SV196625:SZ196625 ACR196625:ACV196625 AMN196625:AMR196625 AWJ196625:AWN196625 BGF196625:BGJ196625 BQB196625:BQF196625 BZX196625:CAB196625 CJT196625:CJX196625 CTP196625:CTT196625 DDL196625:DDP196625 DNH196625:DNL196625 DXD196625:DXH196625 EGZ196625:EHD196625 EQV196625:EQZ196625 FAR196625:FAV196625 FKN196625:FKR196625 FUJ196625:FUN196625 GEF196625:GEJ196625 GOB196625:GOF196625 GXX196625:GYB196625 HHT196625:HHX196625 HRP196625:HRT196625 IBL196625:IBP196625 ILH196625:ILL196625 IVD196625:IVH196625 JEZ196625:JFD196625 JOV196625:JOZ196625 JYR196625:JYV196625 KIN196625:KIR196625 KSJ196625:KSN196625 LCF196625:LCJ196625 LMB196625:LMF196625 LVX196625:LWB196625 MFT196625:MFX196625 MPP196625:MPT196625 MZL196625:MZP196625 NJH196625:NJL196625 NTD196625:NTH196625 OCZ196625:ODD196625 OMV196625:OMZ196625 OWR196625:OWV196625 PGN196625:PGR196625 PQJ196625:PQN196625 QAF196625:QAJ196625 QKB196625:QKF196625 QTX196625:QUB196625 RDT196625:RDX196625 RNP196625:RNT196625 RXL196625:RXP196625 SHH196625:SHL196625 SRD196625:SRH196625 TAZ196625:TBD196625 TKV196625:TKZ196625 TUR196625:TUV196625 UEN196625:UER196625 UOJ196625:UON196625 UYF196625:UYJ196625 VIB196625:VIF196625 VRX196625:VSB196625 WBT196625:WBX196625 WLP196625:WLT196625 WVL196625:WVP196625 D262161:H262161 IZ262161:JD262161 SV262161:SZ262161 ACR262161:ACV262161 AMN262161:AMR262161 AWJ262161:AWN262161 BGF262161:BGJ262161 BQB262161:BQF262161 BZX262161:CAB262161 CJT262161:CJX262161 CTP262161:CTT262161 DDL262161:DDP262161 DNH262161:DNL262161 DXD262161:DXH262161 EGZ262161:EHD262161 EQV262161:EQZ262161 FAR262161:FAV262161 FKN262161:FKR262161 FUJ262161:FUN262161 GEF262161:GEJ262161 GOB262161:GOF262161 GXX262161:GYB262161 HHT262161:HHX262161 HRP262161:HRT262161 IBL262161:IBP262161 ILH262161:ILL262161 IVD262161:IVH262161 JEZ262161:JFD262161 JOV262161:JOZ262161 JYR262161:JYV262161 KIN262161:KIR262161 KSJ262161:KSN262161 LCF262161:LCJ262161 LMB262161:LMF262161 LVX262161:LWB262161 MFT262161:MFX262161 MPP262161:MPT262161 MZL262161:MZP262161 NJH262161:NJL262161 NTD262161:NTH262161 OCZ262161:ODD262161 OMV262161:OMZ262161 OWR262161:OWV262161 PGN262161:PGR262161 PQJ262161:PQN262161 QAF262161:QAJ262161 QKB262161:QKF262161 QTX262161:QUB262161 RDT262161:RDX262161 RNP262161:RNT262161 RXL262161:RXP262161 SHH262161:SHL262161 SRD262161:SRH262161 TAZ262161:TBD262161 TKV262161:TKZ262161 TUR262161:TUV262161 UEN262161:UER262161 UOJ262161:UON262161 UYF262161:UYJ262161 VIB262161:VIF262161 VRX262161:VSB262161 WBT262161:WBX262161 WLP262161:WLT262161 WVL262161:WVP262161 D327697:H327697 IZ327697:JD327697 SV327697:SZ327697 ACR327697:ACV327697 AMN327697:AMR327697 AWJ327697:AWN327697 BGF327697:BGJ327697 BQB327697:BQF327697 BZX327697:CAB327697 CJT327697:CJX327697 CTP327697:CTT327697 DDL327697:DDP327697 DNH327697:DNL327697 DXD327697:DXH327697 EGZ327697:EHD327697 EQV327697:EQZ327697 FAR327697:FAV327697 FKN327697:FKR327697 FUJ327697:FUN327697 GEF327697:GEJ327697 GOB327697:GOF327697 GXX327697:GYB327697 HHT327697:HHX327697 HRP327697:HRT327697 IBL327697:IBP327697 ILH327697:ILL327697 IVD327697:IVH327697 JEZ327697:JFD327697 JOV327697:JOZ327697 JYR327697:JYV327697 KIN327697:KIR327697 KSJ327697:KSN327697 LCF327697:LCJ327697 LMB327697:LMF327697 LVX327697:LWB327697 MFT327697:MFX327697 MPP327697:MPT327697 MZL327697:MZP327697 NJH327697:NJL327697 NTD327697:NTH327697 OCZ327697:ODD327697 OMV327697:OMZ327697 OWR327697:OWV327697 PGN327697:PGR327697 PQJ327697:PQN327697 QAF327697:QAJ327697 QKB327697:QKF327697 QTX327697:QUB327697 RDT327697:RDX327697 RNP327697:RNT327697 RXL327697:RXP327697 SHH327697:SHL327697 SRD327697:SRH327697 TAZ327697:TBD327697 TKV327697:TKZ327697 TUR327697:TUV327697 UEN327697:UER327697 UOJ327697:UON327697 UYF327697:UYJ327697 VIB327697:VIF327697 VRX327697:VSB327697 WBT327697:WBX327697 WLP327697:WLT327697 WVL327697:WVP327697 D393233:H393233 IZ393233:JD393233 SV393233:SZ393233 ACR393233:ACV393233 AMN393233:AMR393233 AWJ393233:AWN393233 BGF393233:BGJ393233 BQB393233:BQF393233 BZX393233:CAB393233 CJT393233:CJX393233 CTP393233:CTT393233 DDL393233:DDP393233 DNH393233:DNL393233 DXD393233:DXH393233 EGZ393233:EHD393233 EQV393233:EQZ393233 FAR393233:FAV393233 FKN393233:FKR393233 FUJ393233:FUN393233 GEF393233:GEJ393233 GOB393233:GOF393233 GXX393233:GYB393233 HHT393233:HHX393233 HRP393233:HRT393233 IBL393233:IBP393233 ILH393233:ILL393233 IVD393233:IVH393233 JEZ393233:JFD393233 JOV393233:JOZ393233 JYR393233:JYV393233 KIN393233:KIR393233 KSJ393233:KSN393233 LCF393233:LCJ393233 LMB393233:LMF393233 LVX393233:LWB393233 MFT393233:MFX393233 MPP393233:MPT393233 MZL393233:MZP393233 NJH393233:NJL393233 NTD393233:NTH393233 OCZ393233:ODD393233 OMV393233:OMZ393233 OWR393233:OWV393233 PGN393233:PGR393233 PQJ393233:PQN393233 QAF393233:QAJ393233 QKB393233:QKF393233 QTX393233:QUB393233 RDT393233:RDX393233 RNP393233:RNT393233 RXL393233:RXP393233 SHH393233:SHL393233 SRD393233:SRH393233 TAZ393233:TBD393233 TKV393233:TKZ393233 TUR393233:TUV393233 UEN393233:UER393233 UOJ393233:UON393233 UYF393233:UYJ393233 VIB393233:VIF393233 VRX393233:VSB393233 WBT393233:WBX393233 WLP393233:WLT393233 WVL393233:WVP393233 D458769:H458769 IZ458769:JD458769 SV458769:SZ458769 ACR458769:ACV458769 AMN458769:AMR458769 AWJ458769:AWN458769 BGF458769:BGJ458769 BQB458769:BQF458769 BZX458769:CAB458769 CJT458769:CJX458769 CTP458769:CTT458769 DDL458769:DDP458769 DNH458769:DNL458769 DXD458769:DXH458769 EGZ458769:EHD458769 EQV458769:EQZ458769 FAR458769:FAV458769 FKN458769:FKR458769 FUJ458769:FUN458769 GEF458769:GEJ458769 GOB458769:GOF458769 GXX458769:GYB458769 HHT458769:HHX458769 HRP458769:HRT458769 IBL458769:IBP458769 ILH458769:ILL458769 IVD458769:IVH458769 JEZ458769:JFD458769 JOV458769:JOZ458769 JYR458769:JYV458769 KIN458769:KIR458769 KSJ458769:KSN458769 LCF458769:LCJ458769 LMB458769:LMF458769 LVX458769:LWB458769 MFT458769:MFX458769 MPP458769:MPT458769 MZL458769:MZP458769 NJH458769:NJL458769 NTD458769:NTH458769 OCZ458769:ODD458769 OMV458769:OMZ458769 OWR458769:OWV458769 PGN458769:PGR458769 PQJ458769:PQN458769 QAF458769:QAJ458769 QKB458769:QKF458769 QTX458769:QUB458769 RDT458769:RDX458769 RNP458769:RNT458769 RXL458769:RXP458769 SHH458769:SHL458769 SRD458769:SRH458769 TAZ458769:TBD458769 TKV458769:TKZ458769 TUR458769:TUV458769 UEN458769:UER458769 UOJ458769:UON458769 UYF458769:UYJ458769 VIB458769:VIF458769 VRX458769:VSB458769 WBT458769:WBX458769 WLP458769:WLT458769 WVL458769:WVP458769 D524305:H524305 IZ524305:JD524305 SV524305:SZ524305 ACR524305:ACV524305 AMN524305:AMR524305 AWJ524305:AWN524305 BGF524305:BGJ524305 BQB524305:BQF524305 BZX524305:CAB524305 CJT524305:CJX524305 CTP524305:CTT524305 DDL524305:DDP524305 DNH524305:DNL524305 DXD524305:DXH524305 EGZ524305:EHD524305 EQV524305:EQZ524305 FAR524305:FAV524305 FKN524305:FKR524305 FUJ524305:FUN524305 GEF524305:GEJ524305 GOB524305:GOF524305 GXX524305:GYB524305 HHT524305:HHX524305 HRP524305:HRT524305 IBL524305:IBP524305 ILH524305:ILL524305 IVD524305:IVH524305 JEZ524305:JFD524305 JOV524305:JOZ524305 JYR524305:JYV524305 KIN524305:KIR524305 KSJ524305:KSN524305 LCF524305:LCJ524305 LMB524305:LMF524305 LVX524305:LWB524305 MFT524305:MFX524305 MPP524305:MPT524305 MZL524305:MZP524305 NJH524305:NJL524305 NTD524305:NTH524305 OCZ524305:ODD524305 OMV524305:OMZ524305 OWR524305:OWV524305 PGN524305:PGR524305 PQJ524305:PQN524305 QAF524305:QAJ524305 QKB524305:QKF524305 QTX524305:QUB524305 RDT524305:RDX524305 RNP524305:RNT524305 RXL524305:RXP524305 SHH524305:SHL524305 SRD524305:SRH524305 TAZ524305:TBD524305 TKV524305:TKZ524305 TUR524305:TUV524305 UEN524305:UER524305 UOJ524305:UON524305 UYF524305:UYJ524305 VIB524305:VIF524305 VRX524305:VSB524305 WBT524305:WBX524305 WLP524305:WLT524305 WVL524305:WVP524305 D589841:H589841 IZ589841:JD589841 SV589841:SZ589841 ACR589841:ACV589841 AMN589841:AMR589841 AWJ589841:AWN589841 BGF589841:BGJ589841 BQB589841:BQF589841 BZX589841:CAB589841 CJT589841:CJX589841 CTP589841:CTT589841 DDL589841:DDP589841 DNH589841:DNL589841 DXD589841:DXH589841 EGZ589841:EHD589841 EQV589841:EQZ589841 FAR589841:FAV589841 FKN589841:FKR589841 FUJ589841:FUN589841 GEF589841:GEJ589841 GOB589841:GOF589841 GXX589841:GYB589841 HHT589841:HHX589841 HRP589841:HRT589841 IBL589841:IBP589841 ILH589841:ILL589841 IVD589841:IVH589841 JEZ589841:JFD589841 JOV589841:JOZ589841 JYR589841:JYV589841 KIN589841:KIR589841 KSJ589841:KSN589841 LCF589841:LCJ589841 LMB589841:LMF589841 LVX589841:LWB589841 MFT589841:MFX589841 MPP589841:MPT589841 MZL589841:MZP589841 NJH589841:NJL589841 NTD589841:NTH589841 OCZ589841:ODD589841 OMV589841:OMZ589841 OWR589841:OWV589841 PGN589841:PGR589841 PQJ589841:PQN589841 QAF589841:QAJ589841 QKB589841:QKF589841 QTX589841:QUB589841 RDT589841:RDX589841 RNP589841:RNT589841 RXL589841:RXP589841 SHH589841:SHL589841 SRD589841:SRH589841 TAZ589841:TBD589841 TKV589841:TKZ589841 TUR589841:TUV589841 UEN589841:UER589841 UOJ589841:UON589841 UYF589841:UYJ589841 VIB589841:VIF589841 VRX589841:VSB589841 WBT589841:WBX589841 WLP589841:WLT589841 WVL589841:WVP589841 D655377:H655377 IZ655377:JD655377 SV655377:SZ655377 ACR655377:ACV655377 AMN655377:AMR655377 AWJ655377:AWN655377 BGF655377:BGJ655377 BQB655377:BQF655377 BZX655377:CAB655377 CJT655377:CJX655377 CTP655377:CTT655377 DDL655377:DDP655377 DNH655377:DNL655377 DXD655377:DXH655377 EGZ655377:EHD655377 EQV655377:EQZ655377 FAR655377:FAV655377 FKN655377:FKR655377 FUJ655377:FUN655377 GEF655377:GEJ655377 GOB655377:GOF655377 GXX655377:GYB655377 HHT655377:HHX655377 HRP655377:HRT655377 IBL655377:IBP655377 ILH655377:ILL655377 IVD655377:IVH655377 JEZ655377:JFD655377 JOV655377:JOZ655377 JYR655377:JYV655377 KIN655377:KIR655377 KSJ655377:KSN655377 LCF655377:LCJ655377 LMB655377:LMF655377 LVX655377:LWB655377 MFT655377:MFX655377 MPP655377:MPT655377 MZL655377:MZP655377 NJH655377:NJL655377 NTD655377:NTH655377 OCZ655377:ODD655377 OMV655377:OMZ655377 OWR655377:OWV655377 PGN655377:PGR655377 PQJ655377:PQN655377 QAF655377:QAJ655377 QKB655377:QKF655377 QTX655377:QUB655377 RDT655377:RDX655377 RNP655377:RNT655377 RXL655377:RXP655377 SHH655377:SHL655377 SRD655377:SRH655377 TAZ655377:TBD655377 TKV655377:TKZ655377 TUR655377:TUV655377 UEN655377:UER655377 UOJ655377:UON655377 UYF655377:UYJ655377 VIB655377:VIF655377 VRX655377:VSB655377 WBT655377:WBX655377 WLP655377:WLT655377 WVL655377:WVP655377 D720913:H720913 IZ720913:JD720913 SV720913:SZ720913 ACR720913:ACV720913 AMN720913:AMR720913 AWJ720913:AWN720913 BGF720913:BGJ720913 BQB720913:BQF720913 BZX720913:CAB720913 CJT720913:CJX720913 CTP720913:CTT720913 DDL720913:DDP720913 DNH720913:DNL720913 DXD720913:DXH720913 EGZ720913:EHD720913 EQV720913:EQZ720913 FAR720913:FAV720913 FKN720913:FKR720913 FUJ720913:FUN720913 GEF720913:GEJ720913 GOB720913:GOF720913 GXX720913:GYB720913 HHT720913:HHX720913 HRP720913:HRT720913 IBL720913:IBP720913 ILH720913:ILL720913 IVD720913:IVH720913 JEZ720913:JFD720913 JOV720913:JOZ720913 JYR720913:JYV720913 KIN720913:KIR720913 KSJ720913:KSN720913 LCF720913:LCJ720913 LMB720913:LMF720913 LVX720913:LWB720913 MFT720913:MFX720913 MPP720913:MPT720913 MZL720913:MZP720913 NJH720913:NJL720913 NTD720913:NTH720913 OCZ720913:ODD720913 OMV720913:OMZ720913 OWR720913:OWV720913 PGN720913:PGR720913 PQJ720913:PQN720913 QAF720913:QAJ720913 QKB720913:QKF720913 QTX720913:QUB720913 RDT720913:RDX720913 RNP720913:RNT720913 RXL720913:RXP720913 SHH720913:SHL720913 SRD720913:SRH720913 TAZ720913:TBD720913 TKV720913:TKZ720913 TUR720913:TUV720913 UEN720913:UER720913 UOJ720913:UON720913 UYF720913:UYJ720913 VIB720913:VIF720913 VRX720913:VSB720913 WBT720913:WBX720913 WLP720913:WLT720913 WVL720913:WVP720913 D786449:H786449 IZ786449:JD786449 SV786449:SZ786449 ACR786449:ACV786449 AMN786449:AMR786449 AWJ786449:AWN786449 BGF786449:BGJ786449 BQB786449:BQF786449 BZX786449:CAB786449 CJT786449:CJX786449 CTP786449:CTT786449 DDL786449:DDP786449 DNH786449:DNL786449 DXD786449:DXH786449 EGZ786449:EHD786449 EQV786449:EQZ786449 FAR786449:FAV786449 FKN786449:FKR786449 FUJ786449:FUN786449 GEF786449:GEJ786449 GOB786449:GOF786449 GXX786449:GYB786449 HHT786449:HHX786449 HRP786449:HRT786449 IBL786449:IBP786449 ILH786449:ILL786449 IVD786449:IVH786449 JEZ786449:JFD786449 JOV786449:JOZ786449 JYR786449:JYV786449 KIN786449:KIR786449 KSJ786449:KSN786449 LCF786449:LCJ786449 LMB786449:LMF786449 LVX786449:LWB786449 MFT786449:MFX786449 MPP786449:MPT786449 MZL786449:MZP786449 NJH786449:NJL786449 NTD786449:NTH786449 OCZ786449:ODD786449 OMV786449:OMZ786449 OWR786449:OWV786449 PGN786449:PGR786449 PQJ786449:PQN786449 QAF786449:QAJ786449 QKB786449:QKF786449 QTX786449:QUB786449 RDT786449:RDX786449 RNP786449:RNT786449 RXL786449:RXP786449 SHH786449:SHL786449 SRD786449:SRH786449 TAZ786449:TBD786449 TKV786449:TKZ786449 TUR786449:TUV786449 UEN786449:UER786449 UOJ786449:UON786449 UYF786449:UYJ786449 VIB786449:VIF786449 VRX786449:VSB786449 WBT786449:WBX786449 WLP786449:WLT786449 WVL786449:WVP786449 D851985:H851985 IZ851985:JD851985 SV851985:SZ851985 ACR851985:ACV851985 AMN851985:AMR851985 AWJ851985:AWN851985 BGF851985:BGJ851985 BQB851985:BQF851985 BZX851985:CAB851985 CJT851985:CJX851985 CTP851985:CTT851985 DDL851985:DDP851985 DNH851985:DNL851985 DXD851985:DXH851985 EGZ851985:EHD851985 EQV851985:EQZ851985 FAR851985:FAV851985 FKN851985:FKR851985 FUJ851985:FUN851985 GEF851985:GEJ851985 GOB851985:GOF851985 GXX851985:GYB851985 HHT851985:HHX851985 HRP851985:HRT851985 IBL851985:IBP851985 ILH851985:ILL851985 IVD851985:IVH851985 JEZ851985:JFD851985 JOV851985:JOZ851985 JYR851985:JYV851985 KIN851985:KIR851985 KSJ851985:KSN851985 LCF851985:LCJ851985 LMB851985:LMF851985 LVX851985:LWB851985 MFT851985:MFX851985 MPP851985:MPT851985 MZL851985:MZP851985 NJH851985:NJL851985 NTD851985:NTH851985 OCZ851985:ODD851985 OMV851985:OMZ851985 OWR851985:OWV851985 PGN851985:PGR851985 PQJ851985:PQN851985 QAF851985:QAJ851985 QKB851985:QKF851985 QTX851985:QUB851985 RDT851985:RDX851985 RNP851985:RNT851985 RXL851985:RXP851985 SHH851985:SHL851985 SRD851985:SRH851985 TAZ851985:TBD851985 TKV851985:TKZ851985 TUR851985:TUV851985 UEN851985:UER851985 UOJ851985:UON851985 UYF851985:UYJ851985 VIB851985:VIF851985 VRX851985:VSB851985 WBT851985:WBX851985 WLP851985:WLT851985 WVL851985:WVP851985 D917521:H917521 IZ917521:JD917521 SV917521:SZ917521 ACR917521:ACV917521 AMN917521:AMR917521 AWJ917521:AWN917521 BGF917521:BGJ917521 BQB917521:BQF917521 BZX917521:CAB917521 CJT917521:CJX917521 CTP917521:CTT917521 DDL917521:DDP917521 DNH917521:DNL917521 DXD917521:DXH917521 EGZ917521:EHD917521 EQV917521:EQZ917521 FAR917521:FAV917521 FKN917521:FKR917521 FUJ917521:FUN917521 GEF917521:GEJ917521 GOB917521:GOF917521 GXX917521:GYB917521 HHT917521:HHX917521 HRP917521:HRT917521 IBL917521:IBP917521 ILH917521:ILL917521 IVD917521:IVH917521 JEZ917521:JFD917521 JOV917521:JOZ917521 JYR917521:JYV917521 KIN917521:KIR917521 KSJ917521:KSN917521 LCF917521:LCJ917521 LMB917521:LMF917521 LVX917521:LWB917521 MFT917521:MFX917521 MPP917521:MPT917521 MZL917521:MZP917521 NJH917521:NJL917521 NTD917521:NTH917521 OCZ917521:ODD917521 OMV917521:OMZ917521 OWR917521:OWV917521 PGN917521:PGR917521 PQJ917521:PQN917521 QAF917521:QAJ917521 QKB917521:QKF917521 QTX917521:QUB917521 RDT917521:RDX917521 RNP917521:RNT917521 RXL917521:RXP917521 SHH917521:SHL917521 SRD917521:SRH917521 TAZ917521:TBD917521 TKV917521:TKZ917521 TUR917521:TUV917521 UEN917521:UER917521 UOJ917521:UON917521 UYF917521:UYJ917521 VIB917521:VIF917521 VRX917521:VSB917521 WBT917521:WBX917521 WLP917521:WLT917521 WVL917521:WVP917521 D983057:H983057 IZ983057:JD983057 SV983057:SZ983057 ACR983057:ACV983057 AMN983057:AMR983057 AWJ983057:AWN983057 BGF983057:BGJ983057 BQB983057:BQF983057 BZX983057:CAB983057 CJT983057:CJX983057 CTP983057:CTT983057 DDL983057:DDP983057 DNH983057:DNL983057 DXD983057:DXH983057 EGZ983057:EHD983057 EQV983057:EQZ983057 FAR983057:FAV983057 FKN983057:FKR983057 FUJ983057:FUN983057 GEF983057:GEJ983057 GOB983057:GOF983057 GXX983057:GYB983057 HHT983057:HHX983057 HRP983057:HRT983057 IBL983057:IBP983057 ILH983057:ILL983057 IVD983057:IVH983057 JEZ983057:JFD983057 JOV983057:JOZ983057 JYR983057:JYV983057 KIN983057:KIR983057 KSJ983057:KSN983057 LCF983057:LCJ983057 LMB983057:LMF983057 LVX983057:LWB983057 MFT983057:MFX983057 MPP983057:MPT983057 MZL983057:MZP983057 NJH983057:NJL983057 NTD983057:NTH983057 OCZ983057:ODD983057 OMV983057:OMZ983057 OWR983057:OWV983057 PGN983057:PGR983057 PQJ983057:PQN983057 QAF983057:QAJ983057 QKB983057:QKF983057 QTX983057:QUB983057 RDT983057:RDX983057 RNP983057:RNT983057 RXL983057:RXP983057 SHH983057:SHL983057 SRD983057:SRH983057 TAZ983057:TBD983057 TKV983057:TKZ983057 TUR983057:TUV983057 UEN983057:UER983057 UOJ983057:UON983057 UYF983057:UYJ983057 VIB983057:VIF983057 VRX983057:VSB983057 WBT983057:WBX983057 WLP983057:WLT983057 WVL983057:WVP983057" xr:uid="{C548AB1C-B857-4071-AF47-CDCF55E78F4A}"/>
    <dataValidation allowBlank="1" showInputMessage="1" prompt="Enter monthly Notes in cell below" sqref="D15:H15 IZ15:JD15 SV15:SZ15 ACR15:ACV15 AMN15:AMR15 AWJ15:AWN15 BGF15:BGJ15 BQB15:BQF15 BZX15:CAB15 CJT15:CJX15 CTP15:CTT15 DDL15:DDP15 DNH15:DNL15 DXD15:DXH15 EGZ15:EHD15 EQV15:EQZ15 FAR15:FAV15 FKN15:FKR15 FUJ15:FUN15 GEF15:GEJ15 GOB15:GOF15 GXX15:GYB15 HHT15:HHX15 HRP15:HRT15 IBL15:IBP15 ILH15:ILL15 IVD15:IVH15 JEZ15:JFD15 JOV15:JOZ15 JYR15:JYV15 KIN15:KIR15 KSJ15:KSN15 LCF15:LCJ15 LMB15:LMF15 LVX15:LWB15 MFT15:MFX15 MPP15:MPT15 MZL15:MZP15 NJH15:NJL15 NTD15:NTH15 OCZ15:ODD15 OMV15:OMZ15 OWR15:OWV15 PGN15:PGR15 PQJ15:PQN15 QAF15:QAJ15 QKB15:QKF15 QTX15:QUB15 RDT15:RDX15 RNP15:RNT15 RXL15:RXP15 SHH15:SHL15 SRD15:SRH15 TAZ15:TBD15 TKV15:TKZ15 TUR15:TUV15 UEN15:UER15 UOJ15:UON15 UYF15:UYJ15 VIB15:VIF15 VRX15:VSB15 WBT15:WBX15 WLP15:WLT15 WVL15:WVP15 D65551:H65551 IZ65551:JD65551 SV65551:SZ65551 ACR65551:ACV65551 AMN65551:AMR65551 AWJ65551:AWN65551 BGF65551:BGJ65551 BQB65551:BQF65551 BZX65551:CAB65551 CJT65551:CJX65551 CTP65551:CTT65551 DDL65551:DDP65551 DNH65551:DNL65551 DXD65551:DXH65551 EGZ65551:EHD65551 EQV65551:EQZ65551 FAR65551:FAV65551 FKN65551:FKR65551 FUJ65551:FUN65551 GEF65551:GEJ65551 GOB65551:GOF65551 GXX65551:GYB65551 HHT65551:HHX65551 HRP65551:HRT65551 IBL65551:IBP65551 ILH65551:ILL65551 IVD65551:IVH65551 JEZ65551:JFD65551 JOV65551:JOZ65551 JYR65551:JYV65551 KIN65551:KIR65551 KSJ65551:KSN65551 LCF65551:LCJ65551 LMB65551:LMF65551 LVX65551:LWB65551 MFT65551:MFX65551 MPP65551:MPT65551 MZL65551:MZP65551 NJH65551:NJL65551 NTD65551:NTH65551 OCZ65551:ODD65551 OMV65551:OMZ65551 OWR65551:OWV65551 PGN65551:PGR65551 PQJ65551:PQN65551 QAF65551:QAJ65551 QKB65551:QKF65551 QTX65551:QUB65551 RDT65551:RDX65551 RNP65551:RNT65551 RXL65551:RXP65551 SHH65551:SHL65551 SRD65551:SRH65551 TAZ65551:TBD65551 TKV65551:TKZ65551 TUR65551:TUV65551 UEN65551:UER65551 UOJ65551:UON65551 UYF65551:UYJ65551 VIB65551:VIF65551 VRX65551:VSB65551 WBT65551:WBX65551 WLP65551:WLT65551 WVL65551:WVP65551 D131087:H131087 IZ131087:JD131087 SV131087:SZ131087 ACR131087:ACV131087 AMN131087:AMR131087 AWJ131087:AWN131087 BGF131087:BGJ131087 BQB131087:BQF131087 BZX131087:CAB131087 CJT131087:CJX131087 CTP131087:CTT131087 DDL131087:DDP131087 DNH131087:DNL131087 DXD131087:DXH131087 EGZ131087:EHD131087 EQV131087:EQZ131087 FAR131087:FAV131087 FKN131087:FKR131087 FUJ131087:FUN131087 GEF131087:GEJ131087 GOB131087:GOF131087 GXX131087:GYB131087 HHT131087:HHX131087 HRP131087:HRT131087 IBL131087:IBP131087 ILH131087:ILL131087 IVD131087:IVH131087 JEZ131087:JFD131087 JOV131087:JOZ131087 JYR131087:JYV131087 KIN131087:KIR131087 KSJ131087:KSN131087 LCF131087:LCJ131087 LMB131087:LMF131087 LVX131087:LWB131087 MFT131087:MFX131087 MPP131087:MPT131087 MZL131087:MZP131087 NJH131087:NJL131087 NTD131087:NTH131087 OCZ131087:ODD131087 OMV131087:OMZ131087 OWR131087:OWV131087 PGN131087:PGR131087 PQJ131087:PQN131087 QAF131087:QAJ131087 QKB131087:QKF131087 QTX131087:QUB131087 RDT131087:RDX131087 RNP131087:RNT131087 RXL131087:RXP131087 SHH131087:SHL131087 SRD131087:SRH131087 TAZ131087:TBD131087 TKV131087:TKZ131087 TUR131087:TUV131087 UEN131087:UER131087 UOJ131087:UON131087 UYF131087:UYJ131087 VIB131087:VIF131087 VRX131087:VSB131087 WBT131087:WBX131087 WLP131087:WLT131087 WVL131087:WVP131087 D196623:H196623 IZ196623:JD196623 SV196623:SZ196623 ACR196623:ACV196623 AMN196623:AMR196623 AWJ196623:AWN196623 BGF196623:BGJ196623 BQB196623:BQF196623 BZX196623:CAB196623 CJT196623:CJX196623 CTP196623:CTT196623 DDL196623:DDP196623 DNH196623:DNL196623 DXD196623:DXH196623 EGZ196623:EHD196623 EQV196623:EQZ196623 FAR196623:FAV196623 FKN196623:FKR196623 FUJ196623:FUN196623 GEF196623:GEJ196623 GOB196623:GOF196623 GXX196623:GYB196623 HHT196623:HHX196623 HRP196623:HRT196623 IBL196623:IBP196623 ILH196623:ILL196623 IVD196623:IVH196623 JEZ196623:JFD196623 JOV196623:JOZ196623 JYR196623:JYV196623 KIN196623:KIR196623 KSJ196623:KSN196623 LCF196623:LCJ196623 LMB196623:LMF196623 LVX196623:LWB196623 MFT196623:MFX196623 MPP196623:MPT196623 MZL196623:MZP196623 NJH196623:NJL196623 NTD196623:NTH196623 OCZ196623:ODD196623 OMV196623:OMZ196623 OWR196623:OWV196623 PGN196623:PGR196623 PQJ196623:PQN196623 QAF196623:QAJ196623 QKB196623:QKF196623 QTX196623:QUB196623 RDT196623:RDX196623 RNP196623:RNT196623 RXL196623:RXP196623 SHH196623:SHL196623 SRD196623:SRH196623 TAZ196623:TBD196623 TKV196623:TKZ196623 TUR196623:TUV196623 UEN196623:UER196623 UOJ196623:UON196623 UYF196623:UYJ196623 VIB196623:VIF196623 VRX196623:VSB196623 WBT196623:WBX196623 WLP196623:WLT196623 WVL196623:WVP196623 D262159:H262159 IZ262159:JD262159 SV262159:SZ262159 ACR262159:ACV262159 AMN262159:AMR262159 AWJ262159:AWN262159 BGF262159:BGJ262159 BQB262159:BQF262159 BZX262159:CAB262159 CJT262159:CJX262159 CTP262159:CTT262159 DDL262159:DDP262159 DNH262159:DNL262159 DXD262159:DXH262159 EGZ262159:EHD262159 EQV262159:EQZ262159 FAR262159:FAV262159 FKN262159:FKR262159 FUJ262159:FUN262159 GEF262159:GEJ262159 GOB262159:GOF262159 GXX262159:GYB262159 HHT262159:HHX262159 HRP262159:HRT262159 IBL262159:IBP262159 ILH262159:ILL262159 IVD262159:IVH262159 JEZ262159:JFD262159 JOV262159:JOZ262159 JYR262159:JYV262159 KIN262159:KIR262159 KSJ262159:KSN262159 LCF262159:LCJ262159 LMB262159:LMF262159 LVX262159:LWB262159 MFT262159:MFX262159 MPP262159:MPT262159 MZL262159:MZP262159 NJH262159:NJL262159 NTD262159:NTH262159 OCZ262159:ODD262159 OMV262159:OMZ262159 OWR262159:OWV262159 PGN262159:PGR262159 PQJ262159:PQN262159 QAF262159:QAJ262159 QKB262159:QKF262159 QTX262159:QUB262159 RDT262159:RDX262159 RNP262159:RNT262159 RXL262159:RXP262159 SHH262159:SHL262159 SRD262159:SRH262159 TAZ262159:TBD262159 TKV262159:TKZ262159 TUR262159:TUV262159 UEN262159:UER262159 UOJ262159:UON262159 UYF262159:UYJ262159 VIB262159:VIF262159 VRX262159:VSB262159 WBT262159:WBX262159 WLP262159:WLT262159 WVL262159:WVP262159 D327695:H327695 IZ327695:JD327695 SV327695:SZ327695 ACR327695:ACV327695 AMN327695:AMR327695 AWJ327695:AWN327695 BGF327695:BGJ327695 BQB327695:BQF327695 BZX327695:CAB327695 CJT327695:CJX327695 CTP327695:CTT327695 DDL327695:DDP327695 DNH327695:DNL327695 DXD327695:DXH327695 EGZ327695:EHD327695 EQV327695:EQZ327695 FAR327695:FAV327695 FKN327695:FKR327695 FUJ327695:FUN327695 GEF327695:GEJ327695 GOB327695:GOF327695 GXX327695:GYB327695 HHT327695:HHX327695 HRP327695:HRT327695 IBL327695:IBP327695 ILH327695:ILL327695 IVD327695:IVH327695 JEZ327695:JFD327695 JOV327695:JOZ327695 JYR327695:JYV327695 KIN327695:KIR327695 KSJ327695:KSN327695 LCF327695:LCJ327695 LMB327695:LMF327695 LVX327695:LWB327695 MFT327695:MFX327695 MPP327695:MPT327695 MZL327695:MZP327695 NJH327695:NJL327695 NTD327695:NTH327695 OCZ327695:ODD327695 OMV327695:OMZ327695 OWR327695:OWV327695 PGN327695:PGR327695 PQJ327695:PQN327695 QAF327695:QAJ327695 QKB327695:QKF327695 QTX327695:QUB327695 RDT327695:RDX327695 RNP327695:RNT327695 RXL327695:RXP327695 SHH327695:SHL327695 SRD327695:SRH327695 TAZ327695:TBD327695 TKV327695:TKZ327695 TUR327695:TUV327695 UEN327695:UER327695 UOJ327695:UON327695 UYF327695:UYJ327695 VIB327695:VIF327695 VRX327695:VSB327695 WBT327695:WBX327695 WLP327695:WLT327695 WVL327695:WVP327695 D393231:H393231 IZ393231:JD393231 SV393231:SZ393231 ACR393231:ACV393231 AMN393231:AMR393231 AWJ393231:AWN393231 BGF393231:BGJ393231 BQB393231:BQF393231 BZX393231:CAB393231 CJT393231:CJX393231 CTP393231:CTT393231 DDL393231:DDP393231 DNH393231:DNL393231 DXD393231:DXH393231 EGZ393231:EHD393231 EQV393231:EQZ393231 FAR393231:FAV393231 FKN393231:FKR393231 FUJ393231:FUN393231 GEF393231:GEJ393231 GOB393231:GOF393231 GXX393231:GYB393231 HHT393231:HHX393231 HRP393231:HRT393231 IBL393231:IBP393231 ILH393231:ILL393231 IVD393231:IVH393231 JEZ393231:JFD393231 JOV393231:JOZ393231 JYR393231:JYV393231 KIN393231:KIR393231 KSJ393231:KSN393231 LCF393231:LCJ393231 LMB393231:LMF393231 LVX393231:LWB393231 MFT393231:MFX393231 MPP393231:MPT393231 MZL393231:MZP393231 NJH393231:NJL393231 NTD393231:NTH393231 OCZ393231:ODD393231 OMV393231:OMZ393231 OWR393231:OWV393231 PGN393231:PGR393231 PQJ393231:PQN393231 QAF393231:QAJ393231 QKB393231:QKF393231 QTX393231:QUB393231 RDT393231:RDX393231 RNP393231:RNT393231 RXL393231:RXP393231 SHH393231:SHL393231 SRD393231:SRH393231 TAZ393231:TBD393231 TKV393231:TKZ393231 TUR393231:TUV393231 UEN393231:UER393231 UOJ393231:UON393231 UYF393231:UYJ393231 VIB393231:VIF393231 VRX393231:VSB393231 WBT393231:WBX393231 WLP393231:WLT393231 WVL393231:WVP393231 D458767:H458767 IZ458767:JD458767 SV458767:SZ458767 ACR458767:ACV458767 AMN458767:AMR458767 AWJ458767:AWN458767 BGF458767:BGJ458767 BQB458767:BQF458767 BZX458767:CAB458767 CJT458767:CJX458767 CTP458767:CTT458767 DDL458767:DDP458767 DNH458767:DNL458767 DXD458767:DXH458767 EGZ458767:EHD458767 EQV458767:EQZ458767 FAR458767:FAV458767 FKN458767:FKR458767 FUJ458767:FUN458767 GEF458767:GEJ458767 GOB458767:GOF458767 GXX458767:GYB458767 HHT458767:HHX458767 HRP458767:HRT458767 IBL458767:IBP458767 ILH458767:ILL458767 IVD458767:IVH458767 JEZ458767:JFD458767 JOV458767:JOZ458767 JYR458767:JYV458767 KIN458767:KIR458767 KSJ458767:KSN458767 LCF458767:LCJ458767 LMB458767:LMF458767 LVX458767:LWB458767 MFT458767:MFX458767 MPP458767:MPT458767 MZL458767:MZP458767 NJH458767:NJL458767 NTD458767:NTH458767 OCZ458767:ODD458767 OMV458767:OMZ458767 OWR458767:OWV458767 PGN458767:PGR458767 PQJ458767:PQN458767 QAF458767:QAJ458767 QKB458767:QKF458767 QTX458767:QUB458767 RDT458767:RDX458767 RNP458767:RNT458767 RXL458767:RXP458767 SHH458767:SHL458767 SRD458767:SRH458767 TAZ458767:TBD458767 TKV458767:TKZ458767 TUR458767:TUV458767 UEN458767:UER458767 UOJ458767:UON458767 UYF458767:UYJ458767 VIB458767:VIF458767 VRX458767:VSB458767 WBT458767:WBX458767 WLP458767:WLT458767 WVL458767:WVP458767 D524303:H524303 IZ524303:JD524303 SV524303:SZ524303 ACR524303:ACV524303 AMN524303:AMR524303 AWJ524303:AWN524303 BGF524303:BGJ524303 BQB524303:BQF524303 BZX524303:CAB524303 CJT524303:CJX524303 CTP524303:CTT524303 DDL524303:DDP524303 DNH524303:DNL524303 DXD524303:DXH524303 EGZ524303:EHD524303 EQV524303:EQZ524303 FAR524303:FAV524303 FKN524303:FKR524303 FUJ524303:FUN524303 GEF524303:GEJ524303 GOB524303:GOF524303 GXX524303:GYB524303 HHT524303:HHX524303 HRP524303:HRT524303 IBL524303:IBP524303 ILH524303:ILL524303 IVD524303:IVH524303 JEZ524303:JFD524303 JOV524303:JOZ524303 JYR524303:JYV524303 KIN524303:KIR524303 KSJ524303:KSN524303 LCF524303:LCJ524303 LMB524303:LMF524303 LVX524303:LWB524303 MFT524303:MFX524303 MPP524303:MPT524303 MZL524303:MZP524303 NJH524303:NJL524303 NTD524303:NTH524303 OCZ524303:ODD524303 OMV524303:OMZ524303 OWR524303:OWV524303 PGN524303:PGR524303 PQJ524303:PQN524303 QAF524303:QAJ524303 QKB524303:QKF524303 QTX524303:QUB524303 RDT524303:RDX524303 RNP524303:RNT524303 RXL524303:RXP524303 SHH524303:SHL524303 SRD524303:SRH524303 TAZ524303:TBD524303 TKV524303:TKZ524303 TUR524303:TUV524303 UEN524303:UER524303 UOJ524303:UON524303 UYF524303:UYJ524303 VIB524303:VIF524303 VRX524303:VSB524303 WBT524303:WBX524303 WLP524303:WLT524303 WVL524303:WVP524303 D589839:H589839 IZ589839:JD589839 SV589839:SZ589839 ACR589839:ACV589839 AMN589839:AMR589839 AWJ589839:AWN589839 BGF589839:BGJ589839 BQB589839:BQF589839 BZX589839:CAB589839 CJT589839:CJX589839 CTP589839:CTT589839 DDL589839:DDP589839 DNH589839:DNL589839 DXD589839:DXH589839 EGZ589839:EHD589839 EQV589839:EQZ589839 FAR589839:FAV589839 FKN589839:FKR589839 FUJ589839:FUN589839 GEF589839:GEJ589839 GOB589839:GOF589839 GXX589839:GYB589839 HHT589839:HHX589839 HRP589839:HRT589839 IBL589839:IBP589839 ILH589839:ILL589839 IVD589839:IVH589839 JEZ589839:JFD589839 JOV589839:JOZ589839 JYR589839:JYV589839 KIN589839:KIR589839 KSJ589839:KSN589839 LCF589839:LCJ589839 LMB589839:LMF589839 LVX589839:LWB589839 MFT589839:MFX589839 MPP589839:MPT589839 MZL589839:MZP589839 NJH589839:NJL589839 NTD589839:NTH589839 OCZ589839:ODD589839 OMV589839:OMZ589839 OWR589839:OWV589839 PGN589839:PGR589839 PQJ589839:PQN589839 QAF589839:QAJ589839 QKB589839:QKF589839 QTX589839:QUB589839 RDT589839:RDX589839 RNP589839:RNT589839 RXL589839:RXP589839 SHH589839:SHL589839 SRD589839:SRH589839 TAZ589839:TBD589839 TKV589839:TKZ589839 TUR589839:TUV589839 UEN589839:UER589839 UOJ589839:UON589839 UYF589839:UYJ589839 VIB589839:VIF589839 VRX589839:VSB589839 WBT589839:WBX589839 WLP589839:WLT589839 WVL589839:WVP589839 D655375:H655375 IZ655375:JD655375 SV655375:SZ655375 ACR655375:ACV655375 AMN655375:AMR655375 AWJ655375:AWN655375 BGF655375:BGJ655375 BQB655375:BQF655375 BZX655375:CAB655375 CJT655375:CJX655375 CTP655375:CTT655375 DDL655375:DDP655375 DNH655375:DNL655375 DXD655375:DXH655375 EGZ655375:EHD655375 EQV655375:EQZ655375 FAR655375:FAV655375 FKN655375:FKR655375 FUJ655375:FUN655375 GEF655375:GEJ655375 GOB655375:GOF655375 GXX655375:GYB655375 HHT655375:HHX655375 HRP655375:HRT655375 IBL655375:IBP655375 ILH655375:ILL655375 IVD655375:IVH655375 JEZ655375:JFD655375 JOV655375:JOZ655375 JYR655375:JYV655375 KIN655375:KIR655375 KSJ655375:KSN655375 LCF655375:LCJ655375 LMB655375:LMF655375 LVX655375:LWB655375 MFT655375:MFX655375 MPP655375:MPT655375 MZL655375:MZP655375 NJH655375:NJL655375 NTD655375:NTH655375 OCZ655375:ODD655375 OMV655375:OMZ655375 OWR655375:OWV655375 PGN655375:PGR655375 PQJ655375:PQN655375 QAF655375:QAJ655375 QKB655375:QKF655375 QTX655375:QUB655375 RDT655375:RDX655375 RNP655375:RNT655375 RXL655375:RXP655375 SHH655375:SHL655375 SRD655375:SRH655375 TAZ655375:TBD655375 TKV655375:TKZ655375 TUR655375:TUV655375 UEN655375:UER655375 UOJ655375:UON655375 UYF655375:UYJ655375 VIB655375:VIF655375 VRX655375:VSB655375 WBT655375:WBX655375 WLP655375:WLT655375 WVL655375:WVP655375 D720911:H720911 IZ720911:JD720911 SV720911:SZ720911 ACR720911:ACV720911 AMN720911:AMR720911 AWJ720911:AWN720911 BGF720911:BGJ720911 BQB720911:BQF720911 BZX720911:CAB720911 CJT720911:CJX720911 CTP720911:CTT720911 DDL720911:DDP720911 DNH720911:DNL720911 DXD720911:DXH720911 EGZ720911:EHD720911 EQV720911:EQZ720911 FAR720911:FAV720911 FKN720911:FKR720911 FUJ720911:FUN720911 GEF720911:GEJ720911 GOB720911:GOF720911 GXX720911:GYB720911 HHT720911:HHX720911 HRP720911:HRT720911 IBL720911:IBP720911 ILH720911:ILL720911 IVD720911:IVH720911 JEZ720911:JFD720911 JOV720911:JOZ720911 JYR720911:JYV720911 KIN720911:KIR720911 KSJ720911:KSN720911 LCF720911:LCJ720911 LMB720911:LMF720911 LVX720911:LWB720911 MFT720911:MFX720911 MPP720911:MPT720911 MZL720911:MZP720911 NJH720911:NJL720911 NTD720911:NTH720911 OCZ720911:ODD720911 OMV720911:OMZ720911 OWR720911:OWV720911 PGN720911:PGR720911 PQJ720911:PQN720911 QAF720911:QAJ720911 QKB720911:QKF720911 QTX720911:QUB720911 RDT720911:RDX720911 RNP720911:RNT720911 RXL720911:RXP720911 SHH720911:SHL720911 SRD720911:SRH720911 TAZ720911:TBD720911 TKV720911:TKZ720911 TUR720911:TUV720911 UEN720911:UER720911 UOJ720911:UON720911 UYF720911:UYJ720911 VIB720911:VIF720911 VRX720911:VSB720911 WBT720911:WBX720911 WLP720911:WLT720911 WVL720911:WVP720911 D786447:H786447 IZ786447:JD786447 SV786447:SZ786447 ACR786447:ACV786447 AMN786447:AMR786447 AWJ786447:AWN786447 BGF786447:BGJ786447 BQB786447:BQF786447 BZX786447:CAB786447 CJT786447:CJX786447 CTP786447:CTT786447 DDL786447:DDP786447 DNH786447:DNL786447 DXD786447:DXH786447 EGZ786447:EHD786447 EQV786447:EQZ786447 FAR786447:FAV786447 FKN786447:FKR786447 FUJ786447:FUN786447 GEF786447:GEJ786447 GOB786447:GOF786447 GXX786447:GYB786447 HHT786447:HHX786447 HRP786447:HRT786447 IBL786447:IBP786447 ILH786447:ILL786447 IVD786447:IVH786447 JEZ786447:JFD786447 JOV786447:JOZ786447 JYR786447:JYV786447 KIN786447:KIR786447 KSJ786447:KSN786447 LCF786447:LCJ786447 LMB786447:LMF786447 LVX786447:LWB786447 MFT786447:MFX786447 MPP786447:MPT786447 MZL786447:MZP786447 NJH786447:NJL786447 NTD786447:NTH786447 OCZ786447:ODD786447 OMV786447:OMZ786447 OWR786447:OWV786447 PGN786447:PGR786447 PQJ786447:PQN786447 QAF786447:QAJ786447 QKB786447:QKF786447 QTX786447:QUB786447 RDT786447:RDX786447 RNP786447:RNT786447 RXL786447:RXP786447 SHH786447:SHL786447 SRD786447:SRH786447 TAZ786447:TBD786447 TKV786447:TKZ786447 TUR786447:TUV786447 UEN786447:UER786447 UOJ786447:UON786447 UYF786447:UYJ786447 VIB786447:VIF786447 VRX786447:VSB786447 WBT786447:WBX786447 WLP786447:WLT786447 WVL786447:WVP786447 D851983:H851983 IZ851983:JD851983 SV851983:SZ851983 ACR851983:ACV851983 AMN851983:AMR851983 AWJ851983:AWN851983 BGF851983:BGJ851983 BQB851983:BQF851983 BZX851983:CAB851983 CJT851983:CJX851983 CTP851983:CTT851983 DDL851983:DDP851983 DNH851983:DNL851983 DXD851983:DXH851983 EGZ851983:EHD851983 EQV851983:EQZ851983 FAR851983:FAV851983 FKN851983:FKR851983 FUJ851983:FUN851983 GEF851983:GEJ851983 GOB851983:GOF851983 GXX851983:GYB851983 HHT851983:HHX851983 HRP851983:HRT851983 IBL851983:IBP851983 ILH851983:ILL851983 IVD851983:IVH851983 JEZ851983:JFD851983 JOV851983:JOZ851983 JYR851983:JYV851983 KIN851983:KIR851983 KSJ851983:KSN851983 LCF851983:LCJ851983 LMB851983:LMF851983 LVX851983:LWB851983 MFT851983:MFX851983 MPP851983:MPT851983 MZL851983:MZP851983 NJH851983:NJL851983 NTD851983:NTH851983 OCZ851983:ODD851983 OMV851983:OMZ851983 OWR851983:OWV851983 PGN851983:PGR851983 PQJ851983:PQN851983 QAF851983:QAJ851983 QKB851983:QKF851983 QTX851983:QUB851983 RDT851983:RDX851983 RNP851983:RNT851983 RXL851983:RXP851983 SHH851983:SHL851983 SRD851983:SRH851983 TAZ851983:TBD851983 TKV851983:TKZ851983 TUR851983:TUV851983 UEN851983:UER851983 UOJ851983:UON851983 UYF851983:UYJ851983 VIB851983:VIF851983 VRX851983:VSB851983 WBT851983:WBX851983 WLP851983:WLT851983 WVL851983:WVP851983 D917519:H917519 IZ917519:JD917519 SV917519:SZ917519 ACR917519:ACV917519 AMN917519:AMR917519 AWJ917519:AWN917519 BGF917519:BGJ917519 BQB917519:BQF917519 BZX917519:CAB917519 CJT917519:CJX917519 CTP917519:CTT917519 DDL917519:DDP917519 DNH917519:DNL917519 DXD917519:DXH917519 EGZ917519:EHD917519 EQV917519:EQZ917519 FAR917519:FAV917519 FKN917519:FKR917519 FUJ917519:FUN917519 GEF917519:GEJ917519 GOB917519:GOF917519 GXX917519:GYB917519 HHT917519:HHX917519 HRP917519:HRT917519 IBL917519:IBP917519 ILH917519:ILL917519 IVD917519:IVH917519 JEZ917519:JFD917519 JOV917519:JOZ917519 JYR917519:JYV917519 KIN917519:KIR917519 KSJ917519:KSN917519 LCF917519:LCJ917519 LMB917519:LMF917519 LVX917519:LWB917519 MFT917519:MFX917519 MPP917519:MPT917519 MZL917519:MZP917519 NJH917519:NJL917519 NTD917519:NTH917519 OCZ917519:ODD917519 OMV917519:OMZ917519 OWR917519:OWV917519 PGN917519:PGR917519 PQJ917519:PQN917519 QAF917519:QAJ917519 QKB917519:QKF917519 QTX917519:QUB917519 RDT917519:RDX917519 RNP917519:RNT917519 RXL917519:RXP917519 SHH917519:SHL917519 SRD917519:SRH917519 TAZ917519:TBD917519 TKV917519:TKZ917519 TUR917519:TUV917519 UEN917519:UER917519 UOJ917519:UON917519 UYF917519:UYJ917519 VIB917519:VIF917519 VRX917519:VSB917519 WBT917519:WBX917519 WLP917519:WLT917519 WVL917519:WVP917519 D983055:H983055 IZ983055:JD983055 SV983055:SZ983055 ACR983055:ACV983055 AMN983055:AMR983055 AWJ983055:AWN983055 BGF983055:BGJ983055 BQB983055:BQF983055 BZX983055:CAB983055 CJT983055:CJX983055 CTP983055:CTT983055 DDL983055:DDP983055 DNH983055:DNL983055 DXD983055:DXH983055 EGZ983055:EHD983055 EQV983055:EQZ983055 FAR983055:FAV983055 FKN983055:FKR983055 FUJ983055:FUN983055 GEF983055:GEJ983055 GOB983055:GOF983055 GXX983055:GYB983055 HHT983055:HHX983055 HRP983055:HRT983055 IBL983055:IBP983055 ILH983055:ILL983055 IVD983055:IVH983055 JEZ983055:JFD983055 JOV983055:JOZ983055 JYR983055:JYV983055 KIN983055:KIR983055 KSJ983055:KSN983055 LCF983055:LCJ983055 LMB983055:LMF983055 LVX983055:LWB983055 MFT983055:MFX983055 MPP983055:MPT983055 MZL983055:MZP983055 NJH983055:NJL983055 NTD983055:NTH983055 OCZ983055:ODD983055 OMV983055:OMZ983055 OWR983055:OWV983055 PGN983055:PGR983055 PQJ983055:PQN983055 QAF983055:QAJ983055 QKB983055:QKF983055 QTX983055:QUB983055 RDT983055:RDX983055 RNP983055:RNT983055 RXL983055:RXP983055 SHH983055:SHL983055 SRD983055:SRH983055 TAZ983055:TBD983055 TKV983055:TKZ983055 TUR983055:TUV983055 UEN983055:UER983055 UOJ983055:UON983055 UYF983055:UYJ983055 VIB983055:VIF983055 VRX983055:VSB983055 WBT983055:WBX983055 WLP983055:WLT983055 WVL983055:WVP983055" xr:uid="{DC40DCD6-A884-434D-A430-FB4F727B1728}"/>
    <dataValidation allowBlank="1" showInputMessage="1" prompt="Enter daily notes here"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2 IX65542 ST65542 ACP65542 AML65542 AWH65542 BGD65542 BPZ65542 BZV65542 CJR65542 CTN65542 DDJ65542 DNF65542 DXB65542 EGX65542 EQT65542 FAP65542 FKL65542 FUH65542 GED65542 GNZ65542 GXV65542 HHR65542 HRN65542 IBJ65542 ILF65542 IVB65542 JEX65542 JOT65542 JYP65542 KIL65542 KSH65542 LCD65542 LLZ65542 LVV65542 MFR65542 MPN65542 MZJ65542 NJF65542 NTB65542 OCX65542 OMT65542 OWP65542 PGL65542 PQH65542 QAD65542 QJZ65542 QTV65542 RDR65542 RNN65542 RXJ65542 SHF65542 SRB65542 TAX65542 TKT65542 TUP65542 UEL65542 UOH65542 UYD65542 VHZ65542 VRV65542 WBR65542 WLN65542 WVJ65542 B131078 IX131078 ST131078 ACP131078 AML131078 AWH131078 BGD131078 BPZ131078 BZV131078 CJR131078 CTN131078 DDJ131078 DNF131078 DXB131078 EGX131078 EQT131078 FAP131078 FKL131078 FUH131078 GED131078 GNZ131078 GXV131078 HHR131078 HRN131078 IBJ131078 ILF131078 IVB131078 JEX131078 JOT131078 JYP131078 KIL131078 KSH131078 LCD131078 LLZ131078 LVV131078 MFR131078 MPN131078 MZJ131078 NJF131078 NTB131078 OCX131078 OMT131078 OWP131078 PGL131078 PQH131078 QAD131078 QJZ131078 QTV131078 RDR131078 RNN131078 RXJ131078 SHF131078 SRB131078 TAX131078 TKT131078 TUP131078 UEL131078 UOH131078 UYD131078 VHZ131078 VRV131078 WBR131078 WLN131078 WVJ131078 B196614 IX196614 ST196614 ACP196614 AML196614 AWH196614 BGD196614 BPZ196614 BZV196614 CJR196614 CTN196614 DDJ196614 DNF196614 DXB196614 EGX196614 EQT196614 FAP196614 FKL196614 FUH196614 GED196614 GNZ196614 GXV196614 HHR196614 HRN196614 IBJ196614 ILF196614 IVB196614 JEX196614 JOT196614 JYP196614 KIL196614 KSH196614 LCD196614 LLZ196614 LVV196614 MFR196614 MPN196614 MZJ196614 NJF196614 NTB196614 OCX196614 OMT196614 OWP196614 PGL196614 PQH196614 QAD196614 QJZ196614 QTV196614 RDR196614 RNN196614 RXJ196614 SHF196614 SRB196614 TAX196614 TKT196614 TUP196614 UEL196614 UOH196614 UYD196614 VHZ196614 VRV196614 WBR196614 WLN196614 WVJ196614 B262150 IX262150 ST262150 ACP262150 AML262150 AWH262150 BGD262150 BPZ262150 BZV262150 CJR262150 CTN262150 DDJ262150 DNF262150 DXB262150 EGX262150 EQT262150 FAP262150 FKL262150 FUH262150 GED262150 GNZ262150 GXV262150 HHR262150 HRN262150 IBJ262150 ILF262150 IVB262150 JEX262150 JOT262150 JYP262150 KIL262150 KSH262150 LCD262150 LLZ262150 LVV262150 MFR262150 MPN262150 MZJ262150 NJF262150 NTB262150 OCX262150 OMT262150 OWP262150 PGL262150 PQH262150 QAD262150 QJZ262150 QTV262150 RDR262150 RNN262150 RXJ262150 SHF262150 SRB262150 TAX262150 TKT262150 TUP262150 UEL262150 UOH262150 UYD262150 VHZ262150 VRV262150 WBR262150 WLN262150 WVJ262150 B327686 IX327686 ST327686 ACP327686 AML327686 AWH327686 BGD327686 BPZ327686 BZV327686 CJR327686 CTN327686 DDJ327686 DNF327686 DXB327686 EGX327686 EQT327686 FAP327686 FKL327686 FUH327686 GED327686 GNZ327686 GXV327686 HHR327686 HRN327686 IBJ327686 ILF327686 IVB327686 JEX327686 JOT327686 JYP327686 KIL327686 KSH327686 LCD327686 LLZ327686 LVV327686 MFR327686 MPN327686 MZJ327686 NJF327686 NTB327686 OCX327686 OMT327686 OWP327686 PGL327686 PQH327686 QAD327686 QJZ327686 QTV327686 RDR327686 RNN327686 RXJ327686 SHF327686 SRB327686 TAX327686 TKT327686 TUP327686 UEL327686 UOH327686 UYD327686 VHZ327686 VRV327686 WBR327686 WLN327686 WVJ327686 B393222 IX393222 ST393222 ACP393222 AML393222 AWH393222 BGD393222 BPZ393222 BZV393222 CJR393222 CTN393222 DDJ393222 DNF393222 DXB393222 EGX393222 EQT393222 FAP393222 FKL393222 FUH393222 GED393222 GNZ393222 GXV393222 HHR393222 HRN393222 IBJ393222 ILF393222 IVB393222 JEX393222 JOT393222 JYP393222 KIL393222 KSH393222 LCD393222 LLZ393222 LVV393222 MFR393222 MPN393222 MZJ393222 NJF393222 NTB393222 OCX393222 OMT393222 OWP393222 PGL393222 PQH393222 QAD393222 QJZ393222 QTV393222 RDR393222 RNN393222 RXJ393222 SHF393222 SRB393222 TAX393222 TKT393222 TUP393222 UEL393222 UOH393222 UYD393222 VHZ393222 VRV393222 WBR393222 WLN393222 WVJ393222 B458758 IX458758 ST458758 ACP458758 AML458758 AWH458758 BGD458758 BPZ458758 BZV458758 CJR458758 CTN458758 DDJ458758 DNF458758 DXB458758 EGX458758 EQT458758 FAP458758 FKL458758 FUH458758 GED458758 GNZ458758 GXV458758 HHR458758 HRN458758 IBJ458758 ILF458758 IVB458758 JEX458758 JOT458758 JYP458758 KIL458758 KSH458758 LCD458758 LLZ458758 LVV458758 MFR458758 MPN458758 MZJ458758 NJF458758 NTB458758 OCX458758 OMT458758 OWP458758 PGL458758 PQH458758 QAD458758 QJZ458758 QTV458758 RDR458758 RNN458758 RXJ458758 SHF458758 SRB458758 TAX458758 TKT458758 TUP458758 UEL458758 UOH458758 UYD458758 VHZ458758 VRV458758 WBR458758 WLN458758 WVJ458758 B524294 IX524294 ST524294 ACP524294 AML524294 AWH524294 BGD524294 BPZ524294 BZV524294 CJR524294 CTN524294 DDJ524294 DNF524294 DXB524294 EGX524294 EQT524294 FAP524294 FKL524294 FUH524294 GED524294 GNZ524294 GXV524294 HHR524294 HRN524294 IBJ524294 ILF524294 IVB524294 JEX524294 JOT524294 JYP524294 KIL524294 KSH524294 LCD524294 LLZ524294 LVV524294 MFR524294 MPN524294 MZJ524294 NJF524294 NTB524294 OCX524294 OMT524294 OWP524294 PGL524294 PQH524294 QAD524294 QJZ524294 QTV524294 RDR524294 RNN524294 RXJ524294 SHF524294 SRB524294 TAX524294 TKT524294 TUP524294 UEL524294 UOH524294 UYD524294 VHZ524294 VRV524294 WBR524294 WLN524294 WVJ524294 B589830 IX589830 ST589830 ACP589830 AML589830 AWH589830 BGD589830 BPZ589830 BZV589830 CJR589830 CTN589830 DDJ589830 DNF589830 DXB589830 EGX589830 EQT589830 FAP589830 FKL589830 FUH589830 GED589830 GNZ589830 GXV589830 HHR589830 HRN589830 IBJ589830 ILF589830 IVB589830 JEX589830 JOT589830 JYP589830 KIL589830 KSH589830 LCD589830 LLZ589830 LVV589830 MFR589830 MPN589830 MZJ589830 NJF589830 NTB589830 OCX589830 OMT589830 OWP589830 PGL589830 PQH589830 QAD589830 QJZ589830 QTV589830 RDR589830 RNN589830 RXJ589830 SHF589830 SRB589830 TAX589830 TKT589830 TUP589830 UEL589830 UOH589830 UYD589830 VHZ589830 VRV589830 WBR589830 WLN589830 WVJ589830 B655366 IX655366 ST655366 ACP655366 AML655366 AWH655366 BGD655366 BPZ655366 BZV655366 CJR655366 CTN655366 DDJ655366 DNF655366 DXB655366 EGX655366 EQT655366 FAP655366 FKL655366 FUH655366 GED655366 GNZ655366 GXV655366 HHR655366 HRN655366 IBJ655366 ILF655366 IVB655366 JEX655366 JOT655366 JYP655366 KIL655366 KSH655366 LCD655366 LLZ655366 LVV655366 MFR655366 MPN655366 MZJ655366 NJF655366 NTB655366 OCX655366 OMT655366 OWP655366 PGL655366 PQH655366 QAD655366 QJZ655366 QTV655366 RDR655366 RNN655366 RXJ655366 SHF655366 SRB655366 TAX655366 TKT655366 TUP655366 UEL655366 UOH655366 UYD655366 VHZ655366 VRV655366 WBR655366 WLN655366 WVJ655366 B720902 IX720902 ST720902 ACP720902 AML720902 AWH720902 BGD720902 BPZ720902 BZV720902 CJR720902 CTN720902 DDJ720902 DNF720902 DXB720902 EGX720902 EQT720902 FAP720902 FKL720902 FUH720902 GED720902 GNZ720902 GXV720902 HHR720902 HRN720902 IBJ720902 ILF720902 IVB720902 JEX720902 JOT720902 JYP720902 KIL720902 KSH720902 LCD720902 LLZ720902 LVV720902 MFR720902 MPN720902 MZJ720902 NJF720902 NTB720902 OCX720902 OMT720902 OWP720902 PGL720902 PQH720902 QAD720902 QJZ720902 QTV720902 RDR720902 RNN720902 RXJ720902 SHF720902 SRB720902 TAX720902 TKT720902 TUP720902 UEL720902 UOH720902 UYD720902 VHZ720902 VRV720902 WBR720902 WLN720902 WVJ720902 B786438 IX786438 ST786438 ACP786438 AML786438 AWH786438 BGD786438 BPZ786438 BZV786438 CJR786438 CTN786438 DDJ786438 DNF786438 DXB786438 EGX786438 EQT786438 FAP786438 FKL786438 FUH786438 GED786438 GNZ786438 GXV786438 HHR786438 HRN786438 IBJ786438 ILF786438 IVB786438 JEX786438 JOT786438 JYP786438 KIL786438 KSH786438 LCD786438 LLZ786438 LVV786438 MFR786438 MPN786438 MZJ786438 NJF786438 NTB786438 OCX786438 OMT786438 OWP786438 PGL786438 PQH786438 QAD786438 QJZ786438 QTV786438 RDR786438 RNN786438 RXJ786438 SHF786438 SRB786438 TAX786438 TKT786438 TUP786438 UEL786438 UOH786438 UYD786438 VHZ786438 VRV786438 WBR786438 WLN786438 WVJ786438 B851974 IX851974 ST851974 ACP851974 AML851974 AWH851974 BGD851974 BPZ851974 BZV851974 CJR851974 CTN851974 DDJ851974 DNF851974 DXB851974 EGX851974 EQT851974 FAP851974 FKL851974 FUH851974 GED851974 GNZ851974 GXV851974 HHR851974 HRN851974 IBJ851974 ILF851974 IVB851974 JEX851974 JOT851974 JYP851974 KIL851974 KSH851974 LCD851974 LLZ851974 LVV851974 MFR851974 MPN851974 MZJ851974 NJF851974 NTB851974 OCX851974 OMT851974 OWP851974 PGL851974 PQH851974 QAD851974 QJZ851974 QTV851974 RDR851974 RNN851974 RXJ851974 SHF851974 SRB851974 TAX851974 TKT851974 TUP851974 UEL851974 UOH851974 UYD851974 VHZ851974 VRV851974 WBR851974 WLN851974 WVJ851974 B917510 IX917510 ST917510 ACP917510 AML917510 AWH917510 BGD917510 BPZ917510 BZV917510 CJR917510 CTN917510 DDJ917510 DNF917510 DXB917510 EGX917510 EQT917510 FAP917510 FKL917510 FUH917510 GED917510 GNZ917510 GXV917510 HHR917510 HRN917510 IBJ917510 ILF917510 IVB917510 JEX917510 JOT917510 JYP917510 KIL917510 KSH917510 LCD917510 LLZ917510 LVV917510 MFR917510 MPN917510 MZJ917510 NJF917510 NTB917510 OCX917510 OMT917510 OWP917510 PGL917510 PQH917510 QAD917510 QJZ917510 QTV917510 RDR917510 RNN917510 RXJ917510 SHF917510 SRB917510 TAX917510 TKT917510 TUP917510 UEL917510 UOH917510 UYD917510 VHZ917510 VRV917510 WBR917510 WLN917510 WVJ917510 B983046 IX983046 ST983046 ACP983046 AML983046 AWH983046 BGD983046 BPZ983046 BZV983046 CJR983046 CTN983046 DDJ983046 DNF983046 DXB983046 EGX983046 EQT983046 FAP983046 FKL983046 FUH983046 GED983046 GNZ983046 GXV983046 HHR983046 HRN983046 IBJ983046 ILF983046 IVB983046 JEX983046 JOT983046 JYP983046 KIL983046 KSH983046 LCD983046 LLZ983046 LVV983046 MFR983046 MPN983046 MZJ983046 NJF983046 NTB983046 OCX983046 OMT983046 OWP983046 PGL983046 PQH983046 QAD983046 QJZ983046 QTV983046 RDR983046 RNN983046 RXJ983046 SHF983046 SRB983046 TAX983046 TKT983046 TUP983046 UEL983046 UOH983046 UYD983046 VHZ983046 VRV983046 WBR983046 WLN983046 WVJ983046" xr:uid="{A69AC152-77EE-4C36-B638-C68311BCCCF9}"/>
    <dataValidation allowBlank="1" showInputMessage="1" prompt="This workbook is a 12-month calendar. Enter starting year in cell B2, then select the starting month in cell C2. The calendar will update automatically for subsequent months"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65537 IW65537 SS65537 ACO65537 AMK65537 AWG65537 BGC65537 BPY65537 BZU65537 CJQ65537 CTM65537 DDI65537 DNE65537 DXA65537 EGW65537 EQS65537 FAO65537 FKK65537 FUG65537 GEC65537 GNY65537 GXU65537 HHQ65537 HRM65537 IBI65537 ILE65537 IVA65537 JEW65537 JOS65537 JYO65537 KIK65537 KSG65537 LCC65537 LLY65537 LVU65537 MFQ65537 MPM65537 MZI65537 NJE65537 NTA65537 OCW65537 OMS65537 OWO65537 PGK65537 PQG65537 QAC65537 QJY65537 QTU65537 RDQ65537 RNM65537 RXI65537 SHE65537 SRA65537 TAW65537 TKS65537 TUO65537 UEK65537 UOG65537 UYC65537 VHY65537 VRU65537 WBQ65537 WLM65537 WVI65537 A131073 IW131073 SS131073 ACO131073 AMK131073 AWG131073 BGC131073 BPY131073 BZU131073 CJQ131073 CTM131073 DDI131073 DNE131073 DXA131073 EGW131073 EQS131073 FAO131073 FKK131073 FUG131073 GEC131073 GNY131073 GXU131073 HHQ131073 HRM131073 IBI131073 ILE131073 IVA131073 JEW131073 JOS131073 JYO131073 KIK131073 KSG131073 LCC131073 LLY131073 LVU131073 MFQ131073 MPM131073 MZI131073 NJE131073 NTA131073 OCW131073 OMS131073 OWO131073 PGK131073 PQG131073 QAC131073 QJY131073 QTU131073 RDQ131073 RNM131073 RXI131073 SHE131073 SRA131073 TAW131073 TKS131073 TUO131073 UEK131073 UOG131073 UYC131073 VHY131073 VRU131073 WBQ131073 WLM131073 WVI131073 A196609 IW196609 SS196609 ACO196609 AMK196609 AWG196609 BGC196609 BPY196609 BZU196609 CJQ196609 CTM196609 DDI196609 DNE196609 DXA196609 EGW196609 EQS196609 FAO196609 FKK196609 FUG196609 GEC196609 GNY196609 GXU196609 HHQ196609 HRM196609 IBI196609 ILE196609 IVA196609 JEW196609 JOS196609 JYO196609 KIK196609 KSG196609 LCC196609 LLY196609 LVU196609 MFQ196609 MPM196609 MZI196609 NJE196609 NTA196609 OCW196609 OMS196609 OWO196609 PGK196609 PQG196609 QAC196609 QJY196609 QTU196609 RDQ196609 RNM196609 RXI196609 SHE196609 SRA196609 TAW196609 TKS196609 TUO196609 UEK196609 UOG196609 UYC196609 VHY196609 VRU196609 WBQ196609 WLM196609 WVI196609 A262145 IW262145 SS262145 ACO262145 AMK262145 AWG262145 BGC262145 BPY262145 BZU262145 CJQ262145 CTM262145 DDI262145 DNE262145 DXA262145 EGW262145 EQS262145 FAO262145 FKK262145 FUG262145 GEC262145 GNY262145 GXU262145 HHQ262145 HRM262145 IBI262145 ILE262145 IVA262145 JEW262145 JOS262145 JYO262145 KIK262145 KSG262145 LCC262145 LLY262145 LVU262145 MFQ262145 MPM262145 MZI262145 NJE262145 NTA262145 OCW262145 OMS262145 OWO262145 PGK262145 PQG262145 QAC262145 QJY262145 QTU262145 RDQ262145 RNM262145 RXI262145 SHE262145 SRA262145 TAW262145 TKS262145 TUO262145 UEK262145 UOG262145 UYC262145 VHY262145 VRU262145 WBQ262145 WLM262145 WVI262145 A327681 IW327681 SS327681 ACO327681 AMK327681 AWG327681 BGC327681 BPY327681 BZU327681 CJQ327681 CTM327681 DDI327681 DNE327681 DXA327681 EGW327681 EQS327681 FAO327681 FKK327681 FUG327681 GEC327681 GNY327681 GXU327681 HHQ327681 HRM327681 IBI327681 ILE327681 IVA327681 JEW327681 JOS327681 JYO327681 KIK327681 KSG327681 LCC327681 LLY327681 LVU327681 MFQ327681 MPM327681 MZI327681 NJE327681 NTA327681 OCW327681 OMS327681 OWO327681 PGK327681 PQG327681 QAC327681 QJY327681 QTU327681 RDQ327681 RNM327681 RXI327681 SHE327681 SRA327681 TAW327681 TKS327681 TUO327681 UEK327681 UOG327681 UYC327681 VHY327681 VRU327681 WBQ327681 WLM327681 WVI327681 A393217 IW393217 SS393217 ACO393217 AMK393217 AWG393217 BGC393217 BPY393217 BZU393217 CJQ393217 CTM393217 DDI393217 DNE393217 DXA393217 EGW393217 EQS393217 FAO393217 FKK393217 FUG393217 GEC393217 GNY393217 GXU393217 HHQ393217 HRM393217 IBI393217 ILE393217 IVA393217 JEW393217 JOS393217 JYO393217 KIK393217 KSG393217 LCC393217 LLY393217 LVU393217 MFQ393217 MPM393217 MZI393217 NJE393217 NTA393217 OCW393217 OMS393217 OWO393217 PGK393217 PQG393217 QAC393217 QJY393217 QTU393217 RDQ393217 RNM393217 RXI393217 SHE393217 SRA393217 TAW393217 TKS393217 TUO393217 UEK393217 UOG393217 UYC393217 VHY393217 VRU393217 WBQ393217 WLM393217 WVI393217 A458753 IW458753 SS458753 ACO458753 AMK458753 AWG458753 BGC458753 BPY458753 BZU458753 CJQ458753 CTM458753 DDI458753 DNE458753 DXA458753 EGW458753 EQS458753 FAO458753 FKK458753 FUG458753 GEC458753 GNY458753 GXU458753 HHQ458753 HRM458753 IBI458753 ILE458753 IVA458753 JEW458753 JOS458753 JYO458753 KIK458753 KSG458753 LCC458753 LLY458753 LVU458753 MFQ458753 MPM458753 MZI458753 NJE458753 NTA458753 OCW458753 OMS458753 OWO458753 PGK458753 PQG458753 QAC458753 QJY458753 QTU458753 RDQ458753 RNM458753 RXI458753 SHE458753 SRA458753 TAW458753 TKS458753 TUO458753 UEK458753 UOG458753 UYC458753 VHY458753 VRU458753 WBQ458753 WLM458753 WVI458753 A524289 IW524289 SS524289 ACO524289 AMK524289 AWG524289 BGC524289 BPY524289 BZU524289 CJQ524289 CTM524289 DDI524289 DNE524289 DXA524289 EGW524289 EQS524289 FAO524289 FKK524289 FUG524289 GEC524289 GNY524289 GXU524289 HHQ524289 HRM524289 IBI524289 ILE524289 IVA524289 JEW524289 JOS524289 JYO524289 KIK524289 KSG524289 LCC524289 LLY524289 LVU524289 MFQ524289 MPM524289 MZI524289 NJE524289 NTA524289 OCW524289 OMS524289 OWO524289 PGK524289 PQG524289 QAC524289 QJY524289 QTU524289 RDQ524289 RNM524289 RXI524289 SHE524289 SRA524289 TAW524289 TKS524289 TUO524289 UEK524289 UOG524289 UYC524289 VHY524289 VRU524289 WBQ524289 WLM524289 WVI524289 A589825 IW589825 SS589825 ACO589825 AMK589825 AWG589825 BGC589825 BPY589825 BZU589825 CJQ589825 CTM589825 DDI589825 DNE589825 DXA589825 EGW589825 EQS589825 FAO589825 FKK589825 FUG589825 GEC589825 GNY589825 GXU589825 HHQ589825 HRM589825 IBI589825 ILE589825 IVA589825 JEW589825 JOS589825 JYO589825 KIK589825 KSG589825 LCC589825 LLY589825 LVU589825 MFQ589825 MPM589825 MZI589825 NJE589825 NTA589825 OCW589825 OMS589825 OWO589825 PGK589825 PQG589825 QAC589825 QJY589825 QTU589825 RDQ589825 RNM589825 RXI589825 SHE589825 SRA589825 TAW589825 TKS589825 TUO589825 UEK589825 UOG589825 UYC589825 VHY589825 VRU589825 WBQ589825 WLM589825 WVI589825 A655361 IW655361 SS655361 ACO655361 AMK655361 AWG655361 BGC655361 BPY655361 BZU655361 CJQ655361 CTM655361 DDI655361 DNE655361 DXA655361 EGW655361 EQS655361 FAO655361 FKK655361 FUG655361 GEC655361 GNY655361 GXU655361 HHQ655361 HRM655361 IBI655361 ILE655361 IVA655361 JEW655361 JOS655361 JYO655361 KIK655361 KSG655361 LCC655361 LLY655361 LVU655361 MFQ655361 MPM655361 MZI655361 NJE655361 NTA655361 OCW655361 OMS655361 OWO655361 PGK655361 PQG655361 QAC655361 QJY655361 QTU655361 RDQ655361 RNM655361 RXI655361 SHE655361 SRA655361 TAW655361 TKS655361 TUO655361 UEK655361 UOG655361 UYC655361 VHY655361 VRU655361 WBQ655361 WLM655361 WVI655361 A720897 IW720897 SS720897 ACO720897 AMK720897 AWG720897 BGC720897 BPY720897 BZU720897 CJQ720897 CTM720897 DDI720897 DNE720897 DXA720897 EGW720897 EQS720897 FAO720897 FKK720897 FUG720897 GEC720897 GNY720897 GXU720897 HHQ720897 HRM720897 IBI720897 ILE720897 IVA720897 JEW720897 JOS720897 JYO720897 KIK720897 KSG720897 LCC720897 LLY720897 LVU720897 MFQ720897 MPM720897 MZI720897 NJE720897 NTA720897 OCW720897 OMS720897 OWO720897 PGK720897 PQG720897 QAC720897 QJY720897 QTU720897 RDQ720897 RNM720897 RXI720897 SHE720897 SRA720897 TAW720897 TKS720897 TUO720897 UEK720897 UOG720897 UYC720897 VHY720897 VRU720897 WBQ720897 WLM720897 WVI720897 A786433 IW786433 SS786433 ACO786433 AMK786433 AWG786433 BGC786433 BPY786433 BZU786433 CJQ786433 CTM786433 DDI786433 DNE786433 DXA786433 EGW786433 EQS786433 FAO786433 FKK786433 FUG786433 GEC786433 GNY786433 GXU786433 HHQ786433 HRM786433 IBI786433 ILE786433 IVA786433 JEW786433 JOS786433 JYO786433 KIK786433 KSG786433 LCC786433 LLY786433 LVU786433 MFQ786433 MPM786433 MZI786433 NJE786433 NTA786433 OCW786433 OMS786433 OWO786433 PGK786433 PQG786433 QAC786433 QJY786433 QTU786433 RDQ786433 RNM786433 RXI786433 SHE786433 SRA786433 TAW786433 TKS786433 TUO786433 UEK786433 UOG786433 UYC786433 VHY786433 VRU786433 WBQ786433 WLM786433 WVI786433 A851969 IW851969 SS851969 ACO851969 AMK851969 AWG851969 BGC851969 BPY851969 BZU851969 CJQ851969 CTM851969 DDI851969 DNE851969 DXA851969 EGW851969 EQS851969 FAO851969 FKK851969 FUG851969 GEC851969 GNY851969 GXU851969 HHQ851969 HRM851969 IBI851969 ILE851969 IVA851969 JEW851969 JOS851969 JYO851969 KIK851969 KSG851969 LCC851969 LLY851969 LVU851969 MFQ851969 MPM851969 MZI851969 NJE851969 NTA851969 OCW851969 OMS851969 OWO851969 PGK851969 PQG851969 QAC851969 QJY851969 QTU851969 RDQ851969 RNM851969 RXI851969 SHE851969 SRA851969 TAW851969 TKS851969 TUO851969 UEK851969 UOG851969 UYC851969 VHY851969 VRU851969 WBQ851969 WLM851969 WVI851969 A917505 IW917505 SS917505 ACO917505 AMK917505 AWG917505 BGC917505 BPY917505 BZU917505 CJQ917505 CTM917505 DDI917505 DNE917505 DXA917505 EGW917505 EQS917505 FAO917505 FKK917505 FUG917505 GEC917505 GNY917505 GXU917505 HHQ917505 HRM917505 IBI917505 ILE917505 IVA917505 JEW917505 JOS917505 JYO917505 KIK917505 KSG917505 LCC917505 LLY917505 LVU917505 MFQ917505 MPM917505 MZI917505 NJE917505 NTA917505 OCW917505 OMS917505 OWO917505 PGK917505 PQG917505 QAC917505 QJY917505 QTU917505 RDQ917505 RNM917505 RXI917505 SHE917505 SRA917505 TAW917505 TKS917505 TUO917505 UEK917505 UOG917505 UYC917505 VHY917505 VRU917505 WBQ917505 WLM917505 WVI917505 A983041 IW983041 SS983041 ACO983041 AMK983041 AWG983041 BGC983041 BPY983041 BZU983041 CJQ983041 CTM983041 DDI983041 DNE983041 DXA983041 EGW983041 EQS983041 FAO983041 FKK983041 FUG983041 GEC983041 GNY983041 GXU983041 HHQ983041 HRM983041 IBI983041 ILE983041 IVA983041 JEW983041 JOS983041 JYO983041 KIK983041 KSG983041 LCC983041 LLY983041 LVU983041 MFQ983041 MPM983041 MZI983041 NJE983041 NTA983041 OCW983041 OMS983041 OWO983041 PGK983041 PQG983041 QAC983041 QJY983041 QTU983041 RDQ983041 RNM983041 RXI983041 SHE983041 SRA983041 TAW983041 TKS983041 TUO983041 UEK983041 UOG983041 UYC983041 VHY983041 VRU983041 WBQ983041 WLM983041 WVI983041" xr:uid="{3B0853D7-E20D-4098-AD54-4DD546BABA9A}"/>
    <dataValidation type="list" errorStyle="warning" allowBlank="1" showInputMessage="1" showErrorMessage="1" error="Select the week start day from the list. Select CANCEL,press ALT+DOWN ARROW for options, then DOWN ARROW and ENTER to make selection" prompt="Select the week start day in this cell. Press ALT+DOWN ARROW to open the drop-down list, then ENTER to make the selection. The calendar will update automatically"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xr:uid="{0B60097F-88D1-4833-B70A-B5F6D9D76829}">
      <formula1>"Sunday, Monday, Tuesday, Wednesday, Thursday, Friday, Saturday"</formula1>
    </dataValidation>
  </dataValidations>
  <printOptions horizontalCentered="1"/>
  <pageMargins left="0.25" right="0.25" top="0.5" bottom="0.3" header="0.3" footer="0.3"/>
  <pageSetup scale="90" fitToHeight="0" orientation="landscape" r:id="rId1"/>
  <headerFooter alignWithMargins="0"/>
  <rowBreaks count="11" manualBreakCount="11">
    <brk id="16" max="16383" man="1"/>
    <brk id="32" max="16383" man="1"/>
    <brk id="48" max="16383" man="1"/>
    <brk id="64" max="16383" man="1"/>
    <brk id="80" max="16383" man="1"/>
    <brk id="96" max="16383" man="1"/>
    <brk id="112" max="16383" man="1"/>
    <brk id="128" max="16383" man="1"/>
    <brk id="144" max="16383" man="1"/>
    <brk id="160" max="16383" man="1"/>
    <brk id="176" max="16383" man="1"/>
  </rowBreaks>
  <legacyDrawing r:id="rId2"/>
  <extLst>
    <ext xmlns:x14="http://schemas.microsoft.com/office/spreadsheetml/2009/9/main" uri="{CCE6A557-97BC-4b89-ADB6-D9C93CAAB3DF}">
      <x14:dataValidations xmlns:xm="http://schemas.microsoft.com/office/excel/2006/main" count="5">
        <x14:dataValidation allowBlank="1" showInputMessage="1" prompt="Calendar month is automatically updated based on the month selected in cell C2" xr:uid="{AF1E2317-20CD-485A-86B2-078BA740AEA9}">
          <xm:sqref>C18:D18 IY18:IZ18 SU18:SV18 ACQ18:ACR18 AMM18:AMN18 AWI18:AWJ18 BGE18:BGF18 BQA18:BQB18 BZW18:BZX18 CJS18:CJT18 CTO18:CTP18 DDK18:DDL18 DNG18:DNH18 DXC18:DXD18 EGY18:EGZ18 EQU18:EQV18 FAQ18:FAR18 FKM18:FKN18 FUI18:FUJ18 GEE18:GEF18 GOA18:GOB18 GXW18:GXX18 HHS18:HHT18 HRO18:HRP18 IBK18:IBL18 ILG18:ILH18 IVC18:IVD18 JEY18:JEZ18 JOU18:JOV18 JYQ18:JYR18 KIM18:KIN18 KSI18:KSJ18 LCE18:LCF18 LMA18:LMB18 LVW18:LVX18 MFS18:MFT18 MPO18:MPP18 MZK18:MZL18 NJG18:NJH18 NTC18:NTD18 OCY18:OCZ18 OMU18:OMV18 OWQ18:OWR18 PGM18:PGN18 PQI18:PQJ18 QAE18:QAF18 QKA18:QKB18 QTW18:QTX18 RDS18:RDT18 RNO18:RNP18 RXK18:RXL18 SHG18:SHH18 SRC18:SRD18 TAY18:TAZ18 TKU18:TKV18 TUQ18:TUR18 UEM18:UEN18 UOI18:UOJ18 UYE18:UYF18 VIA18:VIB18 VRW18:VRX18 WBS18:WBT18 WLO18:WLP18 WVK18:WVL18 C65554:D65554 IY65554:IZ65554 SU65554:SV65554 ACQ65554:ACR65554 AMM65554:AMN65554 AWI65554:AWJ65554 BGE65554:BGF65554 BQA65554:BQB65554 BZW65554:BZX65554 CJS65554:CJT65554 CTO65554:CTP65554 DDK65554:DDL65554 DNG65554:DNH65554 DXC65554:DXD65554 EGY65554:EGZ65554 EQU65554:EQV65554 FAQ65554:FAR65554 FKM65554:FKN65554 FUI65554:FUJ65554 GEE65554:GEF65554 GOA65554:GOB65554 GXW65554:GXX65554 HHS65554:HHT65554 HRO65554:HRP65554 IBK65554:IBL65554 ILG65554:ILH65554 IVC65554:IVD65554 JEY65554:JEZ65554 JOU65554:JOV65554 JYQ65554:JYR65554 KIM65554:KIN65554 KSI65554:KSJ65554 LCE65554:LCF65554 LMA65554:LMB65554 LVW65554:LVX65554 MFS65554:MFT65554 MPO65554:MPP65554 MZK65554:MZL65554 NJG65554:NJH65554 NTC65554:NTD65554 OCY65554:OCZ65554 OMU65554:OMV65554 OWQ65554:OWR65554 PGM65554:PGN65554 PQI65554:PQJ65554 QAE65554:QAF65554 QKA65554:QKB65554 QTW65554:QTX65554 RDS65554:RDT65554 RNO65554:RNP65554 RXK65554:RXL65554 SHG65554:SHH65554 SRC65554:SRD65554 TAY65554:TAZ65554 TKU65554:TKV65554 TUQ65554:TUR65554 UEM65554:UEN65554 UOI65554:UOJ65554 UYE65554:UYF65554 VIA65554:VIB65554 VRW65554:VRX65554 WBS65554:WBT65554 WLO65554:WLP65554 WVK65554:WVL65554 C131090:D131090 IY131090:IZ131090 SU131090:SV131090 ACQ131090:ACR131090 AMM131090:AMN131090 AWI131090:AWJ131090 BGE131090:BGF131090 BQA131090:BQB131090 BZW131090:BZX131090 CJS131090:CJT131090 CTO131090:CTP131090 DDK131090:DDL131090 DNG131090:DNH131090 DXC131090:DXD131090 EGY131090:EGZ131090 EQU131090:EQV131090 FAQ131090:FAR131090 FKM131090:FKN131090 FUI131090:FUJ131090 GEE131090:GEF131090 GOA131090:GOB131090 GXW131090:GXX131090 HHS131090:HHT131090 HRO131090:HRP131090 IBK131090:IBL131090 ILG131090:ILH131090 IVC131090:IVD131090 JEY131090:JEZ131090 JOU131090:JOV131090 JYQ131090:JYR131090 KIM131090:KIN131090 KSI131090:KSJ131090 LCE131090:LCF131090 LMA131090:LMB131090 LVW131090:LVX131090 MFS131090:MFT131090 MPO131090:MPP131090 MZK131090:MZL131090 NJG131090:NJH131090 NTC131090:NTD131090 OCY131090:OCZ131090 OMU131090:OMV131090 OWQ131090:OWR131090 PGM131090:PGN131090 PQI131090:PQJ131090 QAE131090:QAF131090 QKA131090:QKB131090 QTW131090:QTX131090 RDS131090:RDT131090 RNO131090:RNP131090 RXK131090:RXL131090 SHG131090:SHH131090 SRC131090:SRD131090 TAY131090:TAZ131090 TKU131090:TKV131090 TUQ131090:TUR131090 UEM131090:UEN131090 UOI131090:UOJ131090 UYE131090:UYF131090 VIA131090:VIB131090 VRW131090:VRX131090 WBS131090:WBT131090 WLO131090:WLP131090 WVK131090:WVL131090 C196626:D196626 IY196626:IZ196626 SU196626:SV196626 ACQ196626:ACR196626 AMM196626:AMN196626 AWI196626:AWJ196626 BGE196626:BGF196626 BQA196626:BQB196626 BZW196626:BZX196626 CJS196626:CJT196626 CTO196626:CTP196626 DDK196626:DDL196626 DNG196626:DNH196626 DXC196626:DXD196626 EGY196626:EGZ196626 EQU196626:EQV196626 FAQ196626:FAR196626 FKM196626:FKN196626 FUI196626:FUJ196626 GEE196626:GEF196626 GOA196626:GOB196626 GXW196626:GXX196626 HHS196626:HHT196626 HRO196626:HRP196626 IBK196626:IBL196626 ILG196626:ILH196626 IVC196626:IVD196626 JEY196626:JEZ196626 JOU196626:JOV196626 JYQ196626:JYR196626 KIM196626:KIN196626 KSI196626:KSJ196626 LCE196626:LCF196626 LMA196626:LMB196626 LVW196626:LVX196626 MFS196626:MFT196626 MPO196626:MPP196626 MZK196626:MZL196626 NJG196626:NJH196626 NTC196626:NTD196626 OCY196626:OCZ196626 OMU196626:OMV196626 OWQ196626:OWR196626 PGM196626:PGN196626 PQI196626:PQJ196626 QAE196626:QAF196626 QKA196626:QKB196626 QTW196626:QTX196626 RDS196626:RDT196626 RNO196626:RNP196626 RXK196626:RXL196626 SHG196626:SHH196626 SRC196626:SRD196626 TAY196626:TAZ196626 TKU196626:TKV196626 TUQ196626:TUR196626 UEM196626:UEN196626 UOI196626:UOJ196626 UYE196626:UYF196626 VIA196626:VIB196626 VRW196626:VRX196626 WBS196626:WBT196626 WLO196626:WLP196626 WVK196626:WVL196626 C262162:D262162 IY262162:IZ262162 SU262162:SV262162 ACQ262162:ACR262162 AMM262162:AMN262162 AWI262162:AWJ262162 BGE262162:BGF262162 BQA262162:BQB262162 BZW262162:BZX262162 CJS262162:CJT262162 CTO262162:CTP262162 DDK262162:DDL262162 DNG262162:DNH262162 DXC262162:DXD262162 EGY262162:EGZ262162 EQU262162:EQV262162 FAQ262162:FAR262162 FKM262162:FKN262162 FUI262162:FUJ262162 GEE262162:GEF262162 GOA262162:GOB262162 GXW262162:GXX262162 HHS262162:HHT262162 HRO262162:HRP262162 IBK262162:IBL262162 ILG262162:ILH262162 IVC262162:IVD262162 JEY262162:JEZ262162 JOU262162:JOV262162 JYQ262162:JYR262162 KIM262162:KIN262162 KSI262162:KSJ262162 LCE262162:LCF262162 LMA262162:LMB262162 LVW262162:LVX262162 MFS262162:MFT262162 MPO262162:MPP262162 MZK262162:MZL262162 NJG262162:NJH262162 NTC262162:NTD262162 OCY262162:OCZ262162 OMU262162:OMV262162 OWQ262162:OWR262162 PGM262162:PGN262162 PQI262162:PQJ262162 QAE262162:QAF262162 QKA262162:QKB262162 QTW262162:QTX262162 RDS262162:RDT262162 RNO262162:RNP262162 RXK262162:RXL262162 SHG262162:SHH262162 SRC262162:SRD262162 TAY262162:TAZ262162 TKU262162:TKV262162 TUQ262162:TUR262162 UEM262162:UEN262162 UOI262162:UOJ262162 UYE262162:UYF262162 VIA262162:VIB262162 VRW262162:VRX262162 WBS262162:WBT262162 WLO262162:WLP262162 WVK262162:WVL262162 C327698:D327698 IY327698:IZ327698 SU327698:SV327698 ACQ327698:ACR327698 AMM327698:AMN327698 AWI327698:AWJ327698 BGE327698:BGF327698 BQA327698:BQB327698 BZW327698:BZX327698 CJS327698:CJT327698 CTO327698:CTP327698 DDK327698:DDL327698 DNG327698:DNH327698 DXC327698:DXD327698 EGY327698:EGZ327698 EQU327698:EQV327698 FAQ327698:FAR327698 FKM327698:FKN327698 FUI327698:FUJ327698 GEE327698:GEF327698 GOA327698:GOB327698 GXW327698:GXX327698 HHS327698:HHT327698 HRO327698:HRP327698 IBK327698:IBL327698 ILG327698:ILH327698 IVC327698:IVD327698 JEY327698:JEZ327698 JOU327698:JOV327698 JYQ327698:JYR327698 KIM327698:KIN327698 KSI327698:KSJ327698 LCE327698:LCF327698 LMA327698:LMB327698 LVW327698:LVX327698 MFS327698:MFT327698 MPO327698:MPP327698 MZK327698:MZL327698 NJG327698:NJH327698 NTC327698:NTD327698 OCY327698:OCZ327698 OMU327698:OMV327698 OWQ327698:OWR327698 PGM327698:PGN327698 PQI327698:PQJ327698 QAE327698:QAF327698 QKA327698:QKB327698 QTW327698:QTX327698 RDS327698:RDT327698 RNO327698:RNP327698 RXK327698:RXL327698 SHG327698:SHH327698 SRC327698:SRD327698 TAY327698:TAZ327698 TKU327698:TKV327698 TUQ327698:TUR327698 UEM327698:UEN327698 UOI327698:UOJ327698 UYE327698:UYF327698 VIA327698:VIB327698 VRW327698:VRX327698 WBS327698:WBT327698 WLO327698:WLP327698 WVK327698:WVL327698 C393234:D393234 IY393234:IZ393234 SU393234:SV393234 ACQ393234:ACR393234 AMM393234:AMN393234 AWI393234:AWJ393234 BGE393234:BGF393234 BQA393234:BQB393234 BZW393234:BZX393234 CJS393234:CJT393234 CTO393234:CTP393234 DDK393234:DDL393234 DNG393234:DNH393234 DXC393234:DXD393234 EGY393234:EGZ393234 EQU393234:EQV393234 FAQ393234:FAR393234 FKM393234:FKN393234 FUI393234:FUJ393234 GEE393234:GEF393234 GOA393234:GOB393234 GXW393234:GXX393234 HHS393234:HHT393234 HRO393234:HRP393234 IBK393234:IBL393234 ILG393234:ILH393234 IVC393234:IVD393234 JEY393234:JEZ393234 JOU393234:JOV393234 JYQ393234:JYR393234 KIM393234:KIN393234 KSI393234:KSJ393234 LCE393234:LCF393234 LMA393234:LMB393234 LVW393234:LVX393234 MFS393234:MFT393234 MPO393234:MPP393234 MZK393234:MZL393234 NJG393234:NJH393234 NTC393234:NTD393234 OCY393234:OCZ393234 OMU393234:OMV393234 OWQ393234:OWR393234 PGM393234:PGN393234 PQI393234:PQJ393234 QAE393234:QAF393234 QKA393234:QKB393234 QTW393234:QTX393234 RDS393234:RDT393234 RNO393234:RNP393234 RXK393234:RXL393234 SHG393234:SHH393234 SRC393234:SRD393234 TAY393234:TAZ393234 TKU393234:TKV393234 TUQ393234:TUR393234 UEM393234:UEN393234 UOI393234:UOJ393234 UYE393234:UYF393234 VIA393234:VIB393234 VRW393234:VRX393234 WBS393234:WBT393234 WLO393234:WLP393234 WVK393234:WVL393234 C458770:D458770 IY458770:IZ458770 SU458770:SV458770 ACQ458770:ACR458770 AMM458770:AMN458770 AWI458770:AWJ458770 BGE458770:BGF458770 BQA458770:BQB458770 BZW458770:BZX458770 CJS458770:CJT458770 CTO458770:CTP458770 DDK458770:DDL458770 DNG458770:DNH458770 DXC458770:DXD458770 EGY458770:EGZ458770 EQU458770:EQV458770 FAQ458770:FAR458770 FKM458770:FKN458770 FUI458770:FUJ458770 GEE458770:GEF458770 GOA458770:GOB458770 GXW458770:GXX458770 HHS458770:HHT458770 HRO458770:HRP458770 IBK458770:IBL458770 ILG458770:ILH458770 IVC458770:IVD458770 JEY458770:JEZ458770 JOU458770:JOV458770 JYQ458770:JYR458770 KIM458770:KIN458770 KSI458770:KSJ458770 LCE458770:LCF458770 LMA458770:LMB458770 LVW458770:LVX458770 MFS458770:MFT458770 MPO458770:MPP458770 MZK458770:MZL458770 NJG458770:NJH458770 NTC458770:NTD458770 OCY458770:OCZ458770 OMU458770:OMV458770 OWQ458770:OWR458770 PGM458770:PGN458770 PQI458770:PQJ458770 QAE458770:QAF458770 QKA458770:QKB458770 QTW458770:QTX458770 RDS458770:RDT458770 RNO458770:RNP458770 RXK458770:RXL458770 SHG458770:SHH458770 SRC458770:SRD458770 TAY458770:TAZ458770 TKU458770:TKV458770 TUQ458770:TUR458770 UEM458770:UEN458770 UOI458770:UOJ458770 UYE458770:UYF458770 VIA458770:VIB458770 VRW458770:VRX458770 WBS458770:WBT458770 WLO458770:WLP458770 WVK458770:WVL458770 C524306:D524306 IY524306:IZ524306 SU524306:SV524306 ACQ524306:ACR524306 AMM524306:AMN524306 AWI524306:AWJ524306 BGE524306:BGF524306 BQA524306:BQB524306 BZW524306:BZX524306 CJS524306:CJT524306 CTO524306:CTP524306 DDK524306:DDL524306 DNG524306:DNH524306 DXC524306:DXD524306 EGY524306:EGZ524306 EQU524306:EQV524306 FAQ524306:FAR524306 FKM524306:FKN524306 FUI524306:FUJ524306 GEE524306:GEF524306 GOA524306:GOB524306 GXW524306:GXX524306 HHS524306:HHT524306 HRO524306:HRP524306 IBK524306:IBL524306 ILG524306:ILH524306 IVC524306:IVD524306 JEY524306:JEZ524306 JOU524306:JOV524306 JYQ524306:JYR524306 KIM524306:KIN524306 KSI524306:KSJ524306 LCE524306:LCF524306 LMA524306:LMB524306 LVW524306:LVX524306 MFS524306:MFT524306 MPO524306:MPP524306 MZK524306:MZL524306 NJG524306:NJH524306 NTC524306:NTD524306 OCY524306:OCZ524306 OMU524306:OMV524306 OWQ524306:OWR524306 PGM524306:PGN524306 PQI524306:PQJ524306 QAE524306:QAF524306 QKA524306:QKB524306 QTW524306:QTX524306 RDS524306:RDT524306 RNO524306:RNP524306 RXK524306:RXL524306 SHG524306:SHH524306 SRC524306:SRD524306 TAY524306:TAZ524306 TKU524306:TKV524306 TUQ524306:TUR524306 UEM524306:UEN524306 UOI524306:UOJ524306 UYE524306:UYF524306 VIA524306:VIB524306 VRW524306:VRX524306 WBS524306:WBT524306 WLO524306:WLP524306 WVK524306:WVL524306 C589842:D589842 IY589842:IZ589842 SU589842:SV589842 ACQ589842:ACR589842 AMM589842:AMN589842 AWI589842:AWJ589842 BGE589842:BGF589842 BQA589842:BQB589842 BZW589842:BZX589842 CJS589842:CJT589842 CTO589842:CTP589842 DDK589842:DDL589842 DNG589842:DNH589842 DXC589842:DXD589842 EGY589842:EGZ589842 EQU589842:EQV589842 FAQ589842:FAR589842 FKM589842:FKN589842 FUI589842:FUJ589842 GEE589842:GEF589842 GOA589842:GOB589842 GXW589842:GXX589842 HHS589842:HHT589842 HRO589842:HRP589842 IBK589842:IBL589842 ILG589842:ILH589842 IVC589842:IVD589842 JEY589842:JEZ589842 JOU589842:JOV589842 JYQ589842:JYR589842 KIM589842:KIN589842 KSI589842:KSJ589842 LCE589842:LCF589842 LMA589842:LMB589842 LVW589842:LVX589842 MFS589842:MFT589842 MPO589842:MPP589842 MZK589842:MZL589842 NJG589842:NJH589842 NTC589842:NTD589842 OCY589842:OCZ589842 OMU589842:OMV589842 OWQ589842:OWR589842 PGM589842:PGN589842 PQI589842:PQJ589842 QAE589842:QAF589842 QKA589842:QKB589842 QTW589842:QTX589842 RDS589842:RDT589842 RNO589842:RNP589842 RXK589842:RXL589842 SHG589842:SHH589842 SRC589842:SRD589842 TAY589842:TAZ589842 TKU589842:TKV589842 TUQ589842:TUR589842 UEM589842:UEN589842 UOI589842:UOJ589842 UYE589842:UYF589842 VIA589842:VIB589842 VRW589842:VRX589842 WBS589842:WBT589842 WLO589842:WLP589842 WVK589842:WVL589842 C655378:D655378 IY655378:IZ655378 SU655378:SV655378 ACQ655378:ACR655378 AMM655378:AMN655378 AWI655378:AWJ655378 BGE655378:BGF655378 BQA655378:BQB655378 BZW655378:BZX655378 CJS655378:CJT655378 CTO655378:CTP655378 DDK655378:DDL655378 DNG655378:DNH655378 DXC655378:DXD655378 EGY655378:EGZ655378 EQU655378:EQV655378 FAQ655378:FAR655378 FKM655378:FKN655378 FUI655378:FUJ655378 GEE655378:GEF655378 GOA655378:GOB655378 GXW655378:GXX655378 HHS655378:HHT655378 HRO655378:HRP655378 IBK655378:IBL655378 ILG655378:ILH655378 IVC655378:IVD655378 JEY655378:JEZ655378 JOU655378:JOV655378 JYQ655378:JYR655378 KIM655378:KIN655378 KSI655378:KSJ655378 LCE655378:LCF655378 LMA655378:LMB655378 LVW655378:LVX655378 MFS655378:MFT655378 MPO655378:MPP655378 MZK655378:MZL655378 NJG655378:NJH655378 NTC655378:NTD655378 OCY655378:OCZ655378 OMU655378:OMV655378 OWQ655378:OWR655378 PGM655378:PGN655378 PQI655378:PQJ655378 QAE655378:QAF655378 QKA655378:QKB655378 QTW655378:QTX655378 RDS655378:RDT655378 RNO655378:RNP655378 RXK655378:RXL655378 SHG655378:SHH655378 SRC655378:SRD655378 TAY655378:TAZ655378 TKU655378:TKV655378 TUQ655378:TUR655378 UEM655378:UEN655378 UOI655378:UOJ655378 UYE655378:UYF655378 VIA655378:VIB655378 VRW655378:VRX655378 WBS655378:WBT655378 WLO655378:WLP655378 WVK655378:WVL655378 C720914:D720914 IY720914:IZ720914 SU720914:SV720914 ACQ720914:ACR720914 AMM720914:AMN720914 AWI720914:AWJ720914 BGE720914:BGF720914 BQA720914:BQB720914 BZW720914:BZX720914 CJS720914:CJT720914 CTO720914:CTP720914 DDK720914:DDL720914 DNG720914:DNH720914 DXC720914:DXD720914 EGY720914:EGZ720914 EQU720914:EQV720914 FAQ720914:FAR720914 FKM720914:FKN720914 FUI720914:FUJ720914 GEE720914:GEF720914 GOA720914:GOB720914 GXW720914:GXX720914 HHS720914:HHT720914 HRO720914:HRP720914 IBK720914:IBL720914 ILG720914:ILH720914 IVC720914:IVD720914 JEY720914:JEZ720914 JOU720914:JOV720914 JYQ720914:JYR720914 KIM720914:KIN720914 KSI720914:KSJ720914 LCE720914:LCF720914 LMA720914:LMB720914 LVW720914:LVX720914 MFS720914:MFT720914 MPO720914:MPP720914 MZK720914:MZL720914 NJG720914:NJH720914 NTC720914:NTD720914 OCY720914:OCZ720914 OMU720914:OMV720914 OWQ720914:OWR720914 PGM720914:PGN720914 PQI720914:PQJ720914 QAE720914:QAF720914 QKA720914:QKB720914 QTW720914:QTX720914 RDS720914:RDT720914 RNO720914:RNP720914 RXK720914:RXL720914 SHG720914:SHH720914 SRC720914:SRD720914 TAY720914:TAZ720914 TKU720914:TKV720914 TUQ720914:TUR720914 UEM720914:UEN720914 UOI720914:UOJ720914 UYE720914:UYF720914 VIA720914:VIB720914 VRW720914:VRX720914 WBS720914:WBT720914 WLO720914:WLP720914 WVK720914:WVL720914 C786450:D786450 IY786450:IZ786450 SU786450:SV786450 ACQ786450:ACR786450 AMM786450:AMN786450 AWI786450:AWJ786450 BGE786450:BGF786450 BQA786450:BQB786450 BZW786450:BZX786450 CJS786450:CJT786450 CTO786450:CTP786450 DDK786450:DDL786450 DNG786450:DNH786450 DXC786450:DXD786450 EGY786450:EGZ786450 EQU786450:EQV786450 FAQ786450:FAR786450 FKM786450:FKN786450 FUI786450:FUJ786450 GEE786450:GEF786450 GOA786450:GOB786450 GXW786450:GXX786450 HHS786450:HHT786450 HRO786450:HRP786450 IBK786450:IBL786450 ILG786450:ILH786450 IVC786450:IVD786450 JEY786450:JEZ786450 JOU786450:JOV786450 JYQ786450:JYR786450 KIM786450:KIN786450 KSI786450:KSJ786450 LCE786450:LCF786450 LMA786450:LMB786450 LVW786450:LVX786450 MFS786450:MFT786450 MPO786450:MPP786450 MZK786450:MZL786450 NJG786450:NJH786450 NTC786450:NTD786450 OCY786450:OCZ786450 OMU786450:OMV786450 OWQ786450:OWR786450 PGM786450:PGN786450 PQI786450:PQJ786450 QAE786450:QAF786450 QKA786450:QKB786450 QTW786450:QTX786450 RDS786450:RDT786450 RNO786450:RNP786450 RXK786450:RXL786450 SHG786450:SHH786450 SRC786450:SRD786450 TAY786450:TAZ786450 TKU786450:TKV786450 TUQ786450:TUR786450 UEM786450:UEN786450 UOI786450:UOJ786450 UYE786450:UYF786450 VIA786450:VIB786450 VRW786450:VRX786450 WBS786450:WBT786450 WLO786450:WLP786450 WVK786450:WVL786450 C851986:D851986 IY851986:IZ851986 SU851986:SV851986 ACQ851986:ACR851986 AMM851986:AMN851986 AWI851986:AWJ851986 BGE851986:BGF851986 BQA851986:BQB851986 BZW851986:BZX851986 CJS851986:CJT851986 CTO851986:CTP851986 DDK851986:DDL851986 DNG851986:DNH851986 DXC851986:DXD851986 EGY851986:EGZ851986 EQU851986:EQV851986 FAQ851986:FAR851986 FKM851986:FKN851986 FUI851986:FUJ851986 GEE851986:GEF851986 GOA851986:GOB851986 GXW851986:GXX851986 HHS851986:HHT851986 HRO851986:HRP851986 IBK851986:IBL851986 ILG851986:ILH851986 IVC851986:IVD851986 JEY851986:JEZ851986 JOU851986:JOV851986 JYQ851986:JYR851986 KIM851986:KIN851986 KSI851986:KSJ851986 LCE851986:LCF851986 LMA851986:LMB851986 LVW851986:LVX851986 MFS851986:MFT851986 MPO851986:MPP851986 MZK851986:MZL851986 NJG851986:NJH851986 NTC851986:NTD851986 OCY851986:OCZ851986 OMU851986:OMV851986 OWQ851986:OWR851986 PGM851986:PGN851986 PQI851986:PQJ851986 QAE851986:QAF851986 QKA851986:QKB851986 QTW851986:QTX851986 RDS851986:RDT851986 RNO851986:RNP851986 RXK851986:RXL851986 SHG851986:SHH851986 SRC851986:SRD851986 TAY851986:TAZ851986 TKU851986:TKV851986 TUQ851986:TUR851986 UEM851986:UEN851986 UOI851986:UOJ851986 UYE851986:UYF851986 VIA851986:VIB851986 VRW851986:VRX851986 WBS851986:WBT851986 WLO851986:WLP851986 WVK851986:WVL851986 C917522:D917522 IY917522:IZ917522 SU917522:SV917522 ACQ917522:ACR917522 AMM917522:AMN917522 AWI917522:AWJ917522 BGE917522:BGF917522 BQA917522:BQB917522 BZW917522:BZX917522 CJS917522:CJT917522 CTO917522:CTP917522 DDK917522:DDL917522 DNG917522:DNH917522 DXC917522:DXD917522 EGY917522:EGZ917522 EQU917522:EQV917522 FAQ917522:FAR917522 FKM917522:FKN917522 FUI917522:FUJ917522 GEE917522:GEF917522 GOA917522:GOB917522 GXW917522:GXX917522 HHS917522:HHT917522 HRO917522:HRP917522 IBK917522:IBL917522 ILG917522:ILH917522 IVC917522:IVD917522 JEY917522:JEZ917522 JOU917522:JOV917522 JYQ917522:JYR917522 KIM917522:KIN917522 KSI917522:KSJ917522 LCE917522:LCF917522 LMA917522:LMB917522 LVW917522:LVX917522 MFS917522:MFT917522 MPO917522:MPP917522 MZK917522:MZL917522 NJG917522:NJH917522 NTC917522:NTD917522 OCY917522:OCZ917522 OMU917522:OMV917522 OWQ917522:OWR917522 PGM917522:PGN917522 PQI917522:PQJ917522 QAE917522:QAF917522 QKA917522:QKB917522 QTW917522:QTX917522 RDS917522:RDT917522 RNO917522:RNP917522 RXK917522:RXL917522 SHG917522:SHH917522 SRC917522:SRD917522 TAY917522:TAZ917522 TKU917522:TKV917522 TUQ917522:TUR917522 UEM917522:UEN917522 UOI917522:UOJ917522 UYE917522:UYF917522 VIA917522:VIB917522 VRW917522:VRX917522 WBS917522:WBT917522 WLO917522:WLP917522 WVK917522:WVL917522 C983058:D983058 IY983058:IZ983058 SU983058:SV983058 ACQ983058:ACR983058 AMM983058:AMN983058 AWI983058:AWJ983058 BGE983058:BGF983058 BQA983058:BQB983058 BZW983058:BZX983058 CJS983058:CJT983058 CTO983058:CTP983058 DDK983058:DDL983058 DNG983058:DNH983058 DXC983058:DXD983058 EGY983058:EGZ983058 EQU983058:EQV983058 FAQ983058:FAR983058 FKM983058:FKN983058 FUI983058:FUJ983058 GEE983058:GEF983058 GOA983058:GOB983058 GXW983058:GXX983058 HHS983058:HHT983058 HRO983058:HRP983058 IBK983058:IBL983058 ILG983058:ILH983058 IVC983058:IVD983058 JEY983058:JEZ983058 JOU983058:JOV983058 JYQ983058:JYR983058 KIM983058:KIN983058 KSI983058:KSJ983058 LCE983058:LCF983058 LMA983058:LMB983058 LVW983058:LVX983058 MFS983058:MFT983058 MPO983058:MPP983058 MZK983058:MZL983058 NJG983058:NJH983058 NTC983058:NTD983058 OCY983058:OCZ983058 OMU983058:OMV983058 OWQ983058:OWR983058 PGM983058:PGN983058 PQI983058:PQJ983058 QAE983058:QAF983058 QKA983058:QKB983058 QTW983058:QTX983058 RDS983058:RDT983058 RNO983058:RNP983058 RXK983058:RXL983058 SHG983058:SHH983058 SRC983058:SRD983058 TAY983058:TAZ983058 TKU983058:TKV983058 TUQ983058:TUR983058 UEM983058:UEN983058 UOI983058:UOJ983058 UYE983058:UYF983058 VIA983058:VIB983058 VRW983058:VRX983058 WBS983058:WBT983058 WLO983058:WLP983058 WVK983058:WVL983058 C178:D178 IY178:IZ178 SU178:SV178 ACQ178:ACR178 AMM178:AMN178 AWI178:AWJ178 BGE178:BGF178 BQA178:BQB178 BZW178:BZX178 CJS178:CJT178 CTO178:CTP178 DDK178:DDL178 DNG178:DNH178 DXC178:DXD178 EGY178:EGZ178 EQU178:EQV178 FAQ178:FAR178 FKM178:FKN178 FUI178:FUJ178 GEE178:GEF178 GOA178:GOB178 GXW178:GXX178 HHS178:HHT178 HRO178:HRP178 IBK178:IBL178 ILG178:ILH178 IVC178:IVD178 JEY178:JEZ178 JOU178:JOV178 JYQ178:JYR178 KIM178:KIN178 KSI178:KSJ178 LCE178:LCF178 LMA178:LMB178 LVW178:LVX178 MFS178:MFT178 MPO178:MPP178 MZK178:MZL178 NJG178:NJH178 NTC178:NTD178 OCY178:OCZ178 OMU178:OMV178 OWQ178:OWR178 PGM178:PGN178 PQI178:PQJ178 QAE178:QAF178 QKA178:QKB178 QTW178:QTX178 RDS178:RDT178 RNO178:RNP178 RXK178:RXL178 SHG178:SHH178 SRC178:SRD178 TAY178:TAZ178 TKU178:TKV178 TUQ178:TUR178 UEM178:UEN178 UOI178:UOJ178 UYE178:UYF178 VIA178:VIB178 VRW178:VRX178 WBS178:WBT178 WLO178:WLP178 WVK178:WVL178 C65714:D65714 IY65714:IZ65714 SU65714:SV65714 ACQ65714:ACR65714 AMM65714:AMN65714 AWI65714:AWJ65714 BGE65714:BGF65714 BQA65714:BQB65714 BZW65714:BZX65714 CJS65714:CJT65714 CTO65714:CTP65714 DDK65714:DDL65714 DNG65714:DNH65714 DXC65714:DXD65714 EGY65714:EGZ65714 EQU65714:EQV65714 FAQ65714:FAR65714 FKM65714:FKN65714 FUI65714:FUJ65714 GEE65714:GEF65714 GOA65714:GOB65714 GXW65714:GXX65714 HHS65714:HHT65714 HRO65714:HRP65714 IBK65714:IBL65714 ILG65714:ILH65714 IVC65714:IVD65714 JEY65714:JEZ65714 JOU65714:JOV65714 JYQ65714:JYR65714 KIM65714:KIN65714 KSI65714:KSJ65714 LCE65714:LCF65714 LMA65714:LMB65714 LVW65714:LVX65714 MFS65714:MFT65714 MPO65714:MPP65714 MZK65714:MZL65714 NJG65714:NJH65714 NTC65714:NTD65714 OCY65714:OCZ65714 OMU65714:OMV65714 OWQ65714:OWR65714 PGM65714:PGN65714 PQI65714:PQJ65714 QAE65714:QAF65714 QKA65714:QKB65714 QTW65714:QTX65714 RDS65714:RDT65714 RNO65714:RNP65714 RXK65714:RXL65714 SHG65714:SHH65714 SRC65714:SRD65714 TAY65714:TAZ65714 TKU65714:TKV65714 TUQ65714:TUR65714 UEM65714:UEN65714 UOI65714:UOJ65714 UYE65714:UYF65714 VIA65714:VIB65714 VRW65714:VRX65714 WBS65714:WBT65714 WLO65714:WLP65714 WVK65714:WVL65714 C131250:D131250 IY131250:IZ131250 SU131250:SV131250 ACQ131250:ACR131250 AMM131250:AMN131250 AWI131250:AWJ131250 BGE131250:BGF131250 BQA131250:BQB131250 BZW131250:BZX131250 CJS131250:CJT131250 CTO131250:CTP131250 DDK131250:DDL131250 DNG131250:DNH131250 DXC131250:DXD131250 EGY131250:EGZ131250 EQU131250:EQV131250 FAQ131250:FAR131250 FKM131250:FKN131250 FUI131250:FUJ131250 GEE131250:GEF131250 GOA131250:GOB131250 GXW131250:GXX131250 HHS131250:HHT131250 HRO131250:HRP131250 IBK131250:IBL131250 ILG131250:ILH131250 IVC131250:IVD131250 JEY131250:JEZ131250 JOU131250:JOV131250 JYQ131250:JYR131250 KIM131250:KIN131250 KSI131250:KSJ131250 LCE131250:LCF131250 LMA131250:LMB131250 LVW131250:LVX131250 MFS131250:MFT131250 MPO131250:MPP131250 MZK131250:MZL131250 NJG131250:NJH131250 NTC131250:NTD131250 OCY131250:OCZ131250 OMU131250:OMV131250 OWQ131250:OWR131250 PGM131250:PGN131250 PQI131250:PQJ131250 QAE131250:QAF131250 QKA131250:QKB131250 QTW131250:QTX131250 RDS131250:RDT131250 RNO131250:RNP131250 RXK131250:RXL131250 SHG131250:SHH131250 SRC131250:SRD131250 TAY131250:TAZ131250 TKU131250:TKV131250 TUQ131250:TUR131250 UEM131250:UEN131250 UOI131250:UOJ131250 UYE131250:UYF131250 VIA131250:VIB131250 VRW131250:VRX131250 WBS131250:WBT131250 WLO131250:WLP131250 WVK131250:WVL131250 C196786:D196786 IY196786:IZ196786 SU196786:SV196786 ACQ196786:ACR196786 AMM196786:AMN196786 AWI196786:AWJ196786 BGE196786:BGF196786 BQA196786:BQB196786 BZW196786:BZX196786 CJS196786:CJT196786 CTO196786:CTP196786 DDK196786:DDL196786 DNG196786:DNH196786 DXC196786:DXD196786 EGY196786:EGZ196786 EQU196786:EQV196786 FAQ196786:FAR196786 FKM196786:FKN196786 FUI196786:FUJ196786 GEE196786:GEF196786 GOA196786:GOB196786 GXW196786:GXX196786 HHS196786:HHT196786 HRO196786:HRP196786 IBK196786:IBL196786 ILG196786:ILH196786 IVC196786:IVD196786 JEY196786:JEZ196786 JOU196786:JOV196786 JYQ196786:JYR196786 KIM196786:KIN196786 KSI196786:KSJ196786 LCE196786:LCF196786 LMA196786:LMB196786 LVW196786:LVX196786 MFS196786:MFT196786 MPO196786:MPP196786 MZK196786:MZL196786 NJG196786:NJH196786 NTC196786:NTD196786 OCY196786:OCZ196786 OMU196786:OMV196786 OWQ196786:OWR196786 PGM196786:PGN196786 PQI196786:PQJ196786 QAE196786:QAF196786 QKA196786:QKB196786 QTW196786:QTX196786 RDS196786:RDT196786 RNO196786:RNP196786 RXK196786:RXL196786 SHG196786:SHH196786 SRC196786:SRD196786 TAY196786:TAZ196786 TKU196786:TKV196786 TUQ196786:TUR196786 UEM196786:UEN196786 UOI196786:UOJ196786 UYE196786:UYF196786 VIA196786:VIB196786 VRW196786:VRX196786 WBS196786:WBT196786 WLO196786:WLP196786 WVK196786:WVL196786 C262322:D262322 IY262322:IZ262322 SU262322:SV262322 ACQ262322:ACR262322 AMM262322:AMN262322 AWI262322:AWJ262322 BGE262322:BGF262322 BQA262322:BQB262322 BZW262322:BZX262322 CJS262322:CJT262322 CTO262322:CTP262322 DDK262322:DDL262322 DNG262322:DNH262322 DXC262322:DXD262322 EGY262322:EGZ262322 EQU262322:EQV262322 FAQ262322:FAR262322 FKM262322:FKN262322 FUI262322:FUJ262322 GEE262322:GEF262322 GOA262322:GOB262322 GXW262322:GXX262322 HHS262322:HHT262322 HRO262322:HRP262322 IBK262322:IBL262322 ILG262322:ILH262322 IVC262322:IVD262322 JEY262322:JEZ262322 JOU262322:JOV262322 JYQ262322:JYR262322 KIM262322:KIN262322 KSI262322:KSJ262322 LCE262322:LCF262322 LMA262322:LMB262322 LVW262322:LVX262322 MFS262322:MFT262322 MPO262322:MPP262322 MZK262322:MZL262322 NJG262322:NJH262322 NTC262322:NTD262322 OCY262322:OCZ262322 OMU262322:OMV262322 OWQ262322:OWR262322 PGM262322:PGN262322 PQI262322:PQJ262322 QAE262322:QAF262322 QKA262322:QKB262322 QTW262322:QTX262322 RDS262322:RDT262322 RNO262322:RNP262322 RXK262322:RXL262322 SHG262322:SHH262322 SRC262322:SRD262322 TAY262322:TAZ262322 TKU262322:TKV262322 TUQ262322:TUR262322 UEM262322:UEN262322 UOI262322:UOJ262322 UYE262322:UYF262322 VIA262322:VIB262322 VRW262322:VRX262322 WBS262322:WBT262322 WLO262322:WLP262322 WVK262322:WVL262322 C327858:D327858 IY327858:IZ327858 SU327858:SV327858 ACQ327858:ACR327858 AMM327858:AMN327858 AWI327858:AWJ327858 BGE327858:BGF327858 BQA327858:BQB327858 BZW327858:BZX327858 CJS327858:CJT327858 CTO327858:CTP327858 DDK327858:DDL327858 DNG327858:DNH327858 DXC327858:DXD327858 EGY327858:EGZ327858 EQU327858:EQV327858 FAQ327858:FAR327858 FKM327858:FKN327858 FUI327858:FUJ327858 GEE327858:GEF327858 GOA327858:GOB327858 GXW327858:GXX327858 HHS327858:HHT327858 HRO327858:HRP327858 IBK327858:IBL327858 ILG327858:ILH327858 IVC327858:IVD327858 JEY327858:JEZ327858 JOU327858:JOV327858 JYQ327858:JYR327858 KIM327858:KIN327858 KSI327858:KSJ327858 LCE327858:LCF327858 LMA327858:LMB327858 LVW327858:LVX327858 MFS327858:MFT327858 MPO327858:MPP327858 MZK327858:MZL327858 NJG327858:NJH327858 NTC327858:NTD327858 OCY327858:OCZ327858 OMU327858:OMV327858 OWQ327858:OWR327858 PGM327858:PGN327858 PQI327858:PQJ327858 QAE327858:QAF327858 QKA327858:QKB327858 QTW327858:QTX327858 RDS327858:RDT327858 RNO327858:RNP327858 RXK327858:RXL327858 SHG327858:SHH327858 SRC327858:SRD327858 TAY327858:TAZ327858 TKU327858:TKV327858 TUQ327858:TUR327858 UEM327858:UEN327858 UOI327858:UOJ327858 UYE327858:UYF327858 VIA327858:VIB327858 VRW327858:VRX327858 WBS327858:WBT327858 WLO327858:WLP327858 WVK327858:WVL327858 C393394:D393394 IY393394:IZ393394 SU393394:SV393394 ACQ393394:ACR393394 AMM393394:AMN393394 AWI393394:AWJ393394 BGE393394:BGF393394 BQA393394:BQB393394 BZW393394:BZX393394 CJS393394:CJT393394 CTO393394:CTP393394 DDK393394:DDL393394 DNG393394:DNH393394 DXC393394:DXD393394 EGY393394:EGZ393394 EQU393394:EQV393394 FAQ393394:FAR393394 FKM393394:FKN393394 FUI393394:FUJ393394 GEE393394:GEF393394 GOA393394:GOB393394 GXW393394:GXX393394 HHS393394:HHT393394 HRO393394:HRP393394 IBK393394:IBL393394 ILG393394:ILH393394 IVC393394:IVD393394 JEY393394:JEZ393394 JOU393394:JOV393394 JYQ393394:JYR393394 KIM393394:KIN393394 KSI393394:KSJ393394 LCE393394:LCF393394 LMA393394:LMB393394 LVW393394:LVX393394 MFS393394:MFT393394 MPO393394:MPP393394 MZK393394:MZL393394 NJG393394:NJH393394 NTC393394:NTD393394 OCY393394:OCZ393394 OMU393394:OMV393394 OWQ393394:OWR393394 PGM393394:PGN393394 PQI393394:PQJ393394 QAE393394:QAF393394 QKA393394:QKB393394 QTW393394:QTX393394 RDS393394:RDT393394 RNO393394:RNP393394 RXK393394:RXL393394 SHG393394:SHH393394 SRC393394:SRD393394 TAY393394:TAZ393394 TKU393394:TKV393394 TUQ393394:TUR393394 UEM393394:UEN393394 UOI393394:UOJ393394 UYE393394:UYF393394 VIA393394:VIB393394 VRW393394:VRX393394 WBS393394:WBT393394 WLO393394:WLP393394 WVK393394:WVL393394 C458930:D458930 IY458930:IZ458930 SU458930:SV458930 ACQ458930:ACR458930 AMM458930:AMN458930 AWI458930:AWJ458930 BGE458930:BGF458930 BQA458930:BQB458930 BZW458930:BZX458930 CJS458930:CJT458930 CTO458930:CTP458930 DDK458930:DDL458930 DNG458930:DNH458930 DXC458930:DXD458930 EGY458930:EGZ458930 EQU458930:EQV458930 FAQ458930:FAR458930 FKM458930:FKN458930 FUI458930:FUJ458930 GEE458930:GEF458930 GOA458930:GOB458930 GXW458930:GXX458930 HHS458930:HHT458930 HRO458930:HRP458930 IBK458930:IBL458930 ILG458930:ILH458930 IVC458930:IVD458930 JEY458930:JEZ458930 JOU458930:JOV458930 JYQ458930:JYR458930 KIM458930:KIN458930 KSI458930:KSJ458930 LCE458930:LCF458930 LMA458930:LMB458930 LVW458930:LVX458930 MFS458930:MFT458930 MPO458930:MPP458930 MZK458930:MZL458930 NJG458930:NJH458930 NTC458930:NTD458930 OCY458930:OCZ458930 OMU458930:OMV458930 OWQ458930:OWR458930 PGM458930:PGN458930 PQI458930:PQJ458930 QAE458930:QAF458930 QKA458930:QKB458930 QTW458930:QTX458930 RDS458930:RDT458930 RNO458930:RNP458930 RXK458930:RXL458930 SHG458930:SHH458930 SRC458930:SRD458930 TAY458930:TAZ458930 TKU458930:TKV458930 TUQ458930:TUR458930 UEM458930:UEN458930 UOI458930:UOJ458930 UYE458930:UYF458930 VIA458930:VIB458930 VRW458930:VRX458930 WBS458930:WBT458930 WLO458930:WLP458930 WVK458930:WVL458930 C524466:D524466 IY524466:IZ524466 SU524466:SV524466 ACQ524466:ACR524466 AMM524466:AMN524466 AWI524466:AWJ524466 BGE524466:BGF524466 BQA524466:BQB524466 BZW524466:BZX524466 CJS524466:CJT524466 CTO524466:CTP524466 DDK524466:DDL524466 DNG524466:DNH524466 DXC524466:DXD524466 EGY524466:EGZ524466 EQU524466:EQV524466 FAQ524466:FAR524466 FKM524466:FKN524466 FUI524466:FUJ524466 GEE524466:GEF524466 GOA524466:GOB524466 GXW524466:GXX524466 HHS524466:HHT524466 HRO524466:HRP524466 IBK524466:IBL524466 ILG524466:ILH524466 IVC524466:IVD524466 JEY524466:JEZ524466 JOU524466:JOV524466 JYQ524466:JYR524466 KIM524466:KIN524466 KSI524466:KSJ524466 LCE524466:LCF524466 LMA524466:LMB524466 LVW524466:LVX524466 MFS524466:MFT524466 MPO524466:MPP524466 MZK524466:MZL524466 NJG524466:NJH524466 NTC524466:NTD524466 OCY524466:OCZ524466 OMU524466:OMV524466 OWQ524466:OWR524466 PGM524466:PGN524466 PQI524466:PQJ524466 QAE524466:QAF524466 QKA524466:QKB524466 QTW524466:QTX524466 RDS524466:RDT524466 RNO524466:RNP524466 RXK524466:RXL524466 SHG524466:SHH524466 SRC524466:SRD524466 TAY524466:TAZ524466 TKU524466:TKV524466 TUQ524466:TUR524466 UEM524466:UEN524466 UOI524466:UOJ524466 UYE524466:UYF524466 VIA524466:VIB524466 VRW524466:VRX524466 WBS524466:WBT524466 WLO524466:WLP524466 WVK524466:WVL524466 C590002:D590002 IY590002:IZ590002 SU590002:SV590002 ACQ590002:ACR590002 AMM590002:AMN590002 AWI590002:AWJ590002 BGE590002:BGF590002 BQA590002:BQB590002 BZW590002:BZX590002 CJS590002:CJT590002 CTO590002:CTP590002 DDK590002:DDL590002 DNG590002:DNH590002 DXC590002:DXD590002 EGY590002:EGZ590002 EQU590002:EQV590002 FAQ590002:FAR590002 FKM590002:FKN590002 FUI590002:FUJ590002 GEE590002:GEF590002 GOA590002:GOB590002 GXW590002:GXX590002 HHS590002:HHT590002 HRO590002:HRP590002 IBK590002:IBL590002 ILG590002:ILH590002 IVC590002:IVD590002 JEY590002:JEZ590002 JOU590002:JOV590002 JYQ590002:JYR590002 KIM590002:KIN590002 KSI590002:KSJ590002 LCE590002:LCF590002 LMA590002:LMB590002 LVW590002:LVX590002 MFS590002:MFT590002 MPO590002:MPP590002 MZK590002:MZL590002 NJG590002:NJH590002 NTC590002:NTD590002 OCY590002:OCZ590002 OMU590002:OMV590002 OWQ590002:OWR590002 PGM590002:PGN590002 PQI590002:PQJ590002 QAE590002:QAF590002 QKA590002:QKB590002 QTW590002:QTX590002 RDS590002:RDT590002 RNO590002:RNP590002 RXK590002:RXL590002 SHG590002:SHH590002 SRC590002:SRD590002 TAY590002:TAZ590002 TKU590002:TKV590002 TUQ590002:TUR590002 UEM590002:UEN590002 UOI590002:UOJ590002 UYE590002:UYF590002 VIA590002:VIB590002 VRW590002:VRX590002 WBS590002:WBT590002 WLO590002:WLP590002 WVK590002:WVL590002 C655538:D655538 IY655538:IZ655538 SU655538:SV655538 ACQ655538:ACR655538 AMM655538:AMN655538 AWI655538:AWJ655538 BGE655538:BGF655538 BQA655538:BQB655538 BZW655538:BZX655538 CJS655538:CJT655538 CTO655538:CTP655538 DDK655538:DDL655538 DNG655538:DNH655538 DXC655538:DXD655538 EGY655538:EGZ655538 EQU655538:EQV655538 FAQ655538:FAR655538 FKM655538:FKN655538 FUI655538:FUJ655538 GEE655538:GEF655538 GOA655538:GOB655538 GXW655538:GXX655538 HHS655538:HHT655538 HRO655538:HRP655538 IBK655538:IBL655538 ILG655538:ILH655538 IVC655538:IVD655538 JEY655538:JEZ655538 JOU655538:JOV655538 JYQ655538:JYR655538 KIM655538:KIN655538 KSI655538:KSJ655538 LCE655538:LCF655538 LMA655538:LMB655538 LVW655538:LVX655538 MFS655538:MFT655538 MPO655538:MPP655538 MZK655538:MZL655538 NJG655538:NJH655538 NTC655538:NTD655538 OCY655538:OCZ655538 OMU655538:OMV655538 OWQ655538:OWR655538 PGM655538:PGN655538 PQI655538:PQJ655538 QAE655538:QAF655538 QKA655538:QKB655538 QTW655538:QTX655538 RDS655538:RDT655538 RNO655538:RNP655538 RXK655538:RXL655538 SHG655538:SHH655538 SRC655538:SRD655538 TAY655538:TAZ655538 TKU655538:TKV655538 TUQ655538:TUR655538 UEM655538:UEN655538 UOI655538:UOJ655538 UYE655538:UYF655538 VIA655538:VIB655538 VRW655538:VRX655538 WBS655538:WBT655538 WLO655538:WLP655538 WVK655538:WVL655538 C721074:D721074 IY721074:IZ721074 SU721074:SV721074 ACQ721074:ACR721074 AMM721074:AMN721074 AWI721074:AWJ721074 BGE721074:BGF721074 BQA721074:BQB721074 BZW721074:BZX721074 CJS721074:CJT721074 CTO721074:CTP721074 DDK721074:DDL721074 DNG721074:DNH721074 DXC721074:DXD721074 EGY721074:EGZ721074 EQU721074:EQV721074 FAQ721074:FAR721074 FKM721074:FKN721074 FUI721074:FUJ721074 GEE721074:GEF721074 GOA721074:GOB721074 GXW721074:GXX721074 HHS721074:HHT721074 HRO721074:HRP721074 IBK721074:IBL721074 ILG721074:ILH721074 IVC721074:IVD721074 JEY721074:JEZ721074 JOU721074:JOV721074 JYQ721074:JYR721074 KIM721074:KIN721074 KSI721074:KSJ721074 LCE721074:LCF721074 LMA721074:LMB721074 LVW721074:LVX721074 MFS721074:MFT721074 MPO721074:MPP721074 MZK721074:MZL721074 NJG721074:NJH721074 NTC721074:NTD721074 OCY721074:OCZ721074 OMU721074:OMV721074 OWQ721074:OWR721074 PGM721074:PGN721074 PQI721074:PQJ721074 QAE721074:QAF721074 QKA721074:QKB721074 QTW721074:QTX721074 RDS721074:RDT721074 RNO721074:RNP721074 RXK721074:RXL721074 SHG721074:SHH721074 SRC721074:SRD721074 TAY721074:TAZ721074 TKU721074:TKV721074 TUQ721074:TUR721074 UEM721074:UEN721074 UOI721074:UOJ721074 UYE721074:UYF721074 VIA721074:VIB721074 VRW721074:VRX721074 WBS721074:WBT721074 WLO721074:WLP721074 WVK721074:WVL721074 C786610:D786610 IY786610:IZ786610 SU786610:SV786610 ACQ786610:ACR786610 AMM786610:AMN786610 AWI786610:AWJ786610 BGE786610:BGF786610 BQA786610:BQB786610 BZW786610:BZX786610 CJS786610:CJT786610 CTO786610:CTP786610 DDK786610:DDL786610 DNG786610:DNH786610 DXC786610:DXD786610 EGY786610:EGZ786610 EQU786610:EQV786610 FAQ786610:FAR786610 FKM786610:FKN786610 FUI786610:FUJ786610 GEE786610:GEF786610 GOA786610:GOB786610 GXW786610:GXX786610 HHS786610:HHT786610 HRO786610:HRP786610 IBK786610:IBL786610 ILG786610:ILH786610 IVC786610:IVD786610 JEY786610:JEZ786610 JOU786610:JOV786610 JYQ786610:JYR786610 KIM786610:KIN786610 KSI786610:KSJ786610 LCE786610:LCF786610 LMA786610:LMB786610 LVW786610:LVX786610 MFS786610:MFT786610 MPO786610:MPP786610 MZK786610:MZL786610 NJG786610:NJH786610 NTC786610:NTD786610 OCY786610:OCZ786610 OMU786610:OMV786610 OWQ786610:OWR786610 PGM786610:PGN786610 PQI786610:PQJ786610 QAE786610:QAF786610 QKA786610:QKB786610 QTW786610:QTX786610 RDS786610:RDT786610 RNO786610:RNP786610 RXK786610:RXL786610 SHG786610:SHH786610 SRC786610:SRD786610 TAY786610:TAZ786610 TKU786610:TKV786610 TUQ786610:TUR786610 UEM786610:UEN786610 UOI786610:UOJ786610 UYE786610:UYF786610 VIA786610:VIB786610 VRW786610:VRX786610 WBS786610:WBT786610 WLO786610:WLP786610 WVK786610:WVL786610 C852146:D852146 IY852146:IZ852146 SU852146:SV852146 ACQ852146:ACR852146 AMM852146:AMN852146 AWI852146:AWJ852146 BGE852146:BGF852146 BQA852146:BQB852146 BZW852146:BZX852146 CJS852146:CJT852146 CTO852146:CTP852146 DDK852146:DDL852146 DNG852146:DNH852146 DXC852146:DXD852146 EGY852146:EGZ852146 EQU852146:EQV852146 FAQ852146:FAR852146 FKM852146:FKN852146 FUI852146:FUJ852146 GEE852146:GEF852146 GOA852146:GOB852146 GXW852146:GXX852146 HHS852146:HHT852146 HRO852146:HRP852146 IBK852146:IBL852146 ILG852146:ILH852146 IVC852146:IVD852146 JEY852146:JEZ852146 JOU852146:JOV852146 JYQ852146:JYR852146 KIM852146:KIN852146 KSI852146:KSJ852146 LCE852146:LCF852146 LMA852146:LMB852146 LVW852146:LVX852146 MFS852146:MFT852146 MPO852146:MPP852146 MZK852146:MZL852146 NJG852146:NJH852146 NTC852146:NTD852146 OCY852146:OCZ852146 OMU852146:OMV852146 OWQ852146:OWR852146 PGM852146:PGN852146 PQI852146:PQJ852146 QAE852146:QAF852146 QKA852146:QKB852146 QTW852146:QTX852146 RDS852146:RDT852146 RNO852146:RNP852146 RXK852146:RXL852146 SHG852146:SHH852146 SRC852146:SRD852146 TAY852146:TAZ852146 TKU852146:TKV852146 TUQ852146:TUR852146 UEM852146:UEN852146 UOI852146:UOJ852146 UYE852146:UYF852146 VIA852146:VIB852146 VRW852146:VRX852146 WBS852146:WBT852146 WLO852146:WLP852146 WVK852146:WVL852146 C917682:D917682 IY917682:IZ917682 SU917682:SV917682 ACQ917682:ACR917682 AMM917682:AMN917682 AWI917682:AWJ917682 BGE917682:BGF917682 BQA917682:BQB917682 BZW917682:BZX917682 CJS917682:CJT917682 CTO917682:CTP917682 DDK917682:DDL917682 DNG917682:DNH917682 DXC917682:DXD917682 EGY917682:EGZ917682 EQU917682:EQV917682 FAQ917682:FAR917682 FKM917682:FKN917682 FUI917682:FUJ917682 GEE917682:GEF917682 GOA917682:GOB917682 GXW917682:GXX917682 HHS917682:HHT917682 HRO917682:HRP917682 IBK917682:IBL917682 ILG917682:ILH917682 IVC917682:IVD917682 JEY917682:JEZ917682 JOU917682:JOV917682 JYQ917682:JYR917682 KIM917682:KIN917682 KSI917682:KSJ917682 LCE917682:LCF917682 LMA917682:LMB917682 LVW917682:LVX917682 MFS917682:MFT917682 MPO917682:MPP917682 MZK917682:MZL917682 NJG917682:NJH917682 NTC917682:NTD917682 OCY917682:OCZ917682 OMU917682:OMV917682 OWQ917682:OWR917682 PGM917682:PGN917682 PQI917682:PQJ917682 QAE917682:QAF917682 QKA917682:QKB917682 QTW917682:QTX917682 RDS917682:RDT917682 RNO917682:RNP917682 RXK917682:RXL917682 SHG917682:SHH917682 SRC917682:SRD917682 TAY917682:TAZ917682 TKU917682:TKV917682 TUQ917682:TUR917682 UEM917682:UEN917682 UOI917682:UOJ917682 UYE917682:UYF917682 VIA917682:VIB917682 VRW917682:VRX917682 WBS917682:WBT917682 WLO917682:WLP917682 WVK917682:WVL917682 C983218:D983218 IY983218:IZ983218 SU983218:SV983218 ACQ983218:ACR983218 AMM983218:AMN983218 AWI983218:AWJ983218 BGE983218:BGF983218 BQA983218:BQB983218 BZW983218:BZX983218 CJS983218:CJT983218 CTO983218:CTP983218 DDK983218:DDL983218 DNG983218:DNH983218 DXC983218:DXD983218 EGY983218:EGZ983218 EQU983218:EQV983218 FAQ983218:FAR983218 FKM983218:FKN983218 FUI983218:FUJ983218 GEE983218:GEF983218 GOA983218:GOB983218 GXW983218:GXX983218 HHS983218:HHT983218 HRO983218:HRP983218 IBK983218:IBL983218 ILG983218:ILH983218 IVC983218:IVD983218 JEY983218:JEZ983218 JOU983218:JOV983218 JYQ983218:JYR983218 KIM983218:KIN983218 KSI983218:KSJ983218 LCE983218:LCF983218 LMA983218:LMB983218 LVW983218:LVX983218 MFS983218:MFT983218 MPO983218:MPP983218 MZK983218:MZL983218 NJG983218:NJH983218 NTC983218:NTD983218 OCY983218:OCZ983218 OMU983218:OMV983218 OWQ983218:OWR983218 PGM983218:PGN983218 PQI983218:PQJ983218 QAE983218:QAF983218 QKA983218:QKB983218 QTW983218:QTX983218 RDS983218:RDT983218 RNO983218:RNP983218 RXK983218:RXL983218 SHG983218:SHH983218 SRC983218:SRD983218 TAY983218:TAZ983218 TKU983218:TKV983218 TUQ983218:TUR983218 UEM983218:UEN983218 UOI983218:UOJ983218 UYE983218:UYF983218 VIA983218:VIB983218 VRW983218:VRX983218 WBS983218:WBT983218 WLO983218:WLP983218 WVK983218:WVL983218 C34:D34 IY34:IZ34 SU34:SV34 ACQ34:ACR34 AMM34:AMN34 AWI34:AWJ34 BGE34:BGF34 BQA34:BQB34 BZW34:BZX34 CJS34:CJT34 CTO34:CTP34 DDK34:DDL34 DNG34:DNH34 DXC34:DXD34 EGY34:EGZ34 EQU34:EQV34 FAQ34:FAR34 FKM34:FKN34 FUI34:FUJ34 GEE34:GEF34 GOA34:GOB34 GXW34:GXX34 HHS34:HHT34 HRO34:HRP34 IBK34:IBL34 ILG34:ILH34 IVC34:IVD34 JEY34:JEZ34 JOU34:JOV34 JYQ34:JYR34 KIM34:KIN34 KSI34:KSJ34 LCE34:LCF34 LMA34:LMB34 LVW34:LVX34 MFS34:MFT34 MPO34:MPP34 MZK34:MZL34 NJG34:NJH34 NTC34:NTD34 OCY34:OCZ34 OMU34:OMV34 OWQ34:OWR34 PGM34:PGN34 PQI34:PQJ34 QAE34:QAF34 QKA34:QKB34 QTW34:QTX34 RDS34:RDT34 RNO34:RNP34 RXK34:RXL34 SHG34:SHH34 SRC34:SRD34 TAY34:TAZ34 TKU34:TKV34 TUQ34:TUR34 UEM34:UEN34 UOI34:UOJ34 UYE34:UYF34 VIA34:VIB34 VRW34:VRX34 WBS34:WBT34 WLO34:WLP34 WVK34:WVL34 C65570:D65570 IY65570:IZ65570 SU65570:SV65570 ACQ65570:ACR65570 AMM65570:AMN65570 AWI65570:AWJ65570 BGE65570:BGF65570 BQA65570:BQB65570 BZW65570:BZX65570 CJS65570:CJT65570 CTO65570:CTP65570 DDK65570:DDL65570 DNG65570:DNH65570 DXC65570:DXD65570 EGY65570:EGZ65570 EQU65570:EQV65570 FAQ65570:FAR65570 FKM65570:FKN65570 FUI65570:FUJ65570 GEE65570:GEF65570 GOA65570:GOB65570 GXW65570:GXX65570 HHS65570:HHT65570 HRO65570:HRP65570 IBK65570:IBL65570 ILG65570:ILH65570 IVC65570:IVD65570 JEY65570:JEZ65570 JOU65570:JOV65570 JYQ65570:JYR65570 KIM65570:KIN65570 KSI65570:KSJ65570 LCE65570:LCF65570 LMA65570:LMB65570 LVW65570:LVX65570 MFS65570:MFT65570 MPO65570:MPP65570 MZK65570:MZL65570 NJG65570:NJH65570 NTC65570:NTD65570 OCY65570:OCZ65570 OMU65570:OMV65570 OWQ65570:OWR65570 PGM65570:PGN65570 PQI65570:PQJ65570 QAE65570:QAF65570 QKA65570:QKB65570 QTW65570:QTX65570 RDS65570:RDT65570 RNO65570:RNP65570 RXK65570:RXL65570 SHG65570:SHH65570 SRC65570:SRD65570 TAY65570:TAZ65570 TKU65570:TKV65570 TUQ65570:TUR65570 UEM65570:UEN65570 UOI65570:UOJ65570 UYE65570:UYF65570 VIA65570:VIB65570 VRW65570:VRX65570 WBS65570:WBT65570 WLO65570:WLP65570 WVK65570:WVL65570 C131106:D131106 IY131106:IZ131106 SU131106:SV131106 ACQ131106:ACR131106 AMM131106:AMN131106 AWI131106:AWJ131106 BGE131106:BGF131106 BQA131106:BQB131106 BZW131106:BZX131106 CJS131106:CJT131106 CTO131106:CTP131106 DDK131106:DDL131106 DNG131106:DNH131106 DXC131106:DXD131106 EGY131106:EGZ131106 EQU131106:EQV131106 FAQ131106:FAR131106 FKM131106:FKN131106 FUI131106:FUJ131106 GEE131106:GEF131106 GOA131106:GOB131106 GXW131106:GXX131106 HHS131106:HHT131106 HRO131106:HRP131106 IBK131106:IBL131106 ILG131106:ILH131106 IVC131106:IVD131106 JEY131106:JEZ131106 JOU131106:JOV131106 JYQ131106:JYR131106 KIM131106:KIN131106 KSI131106:KSJ131106 LCE131106:LCF131106 LMA131106:LMB131106 LVW131106:LVX131106 MFS131106:MFT131106 MPO131106:MPP131106 MZK131106:MZL131106 NJG131106:NJH131106 NTC131106:NTD131106 OCY131106:OCZ131106 OMU131106:OMV131106 OWQ131106:OWR131106 PGM131106:PGN131106 PQI131106:PQJ131106 QAE131106:QAF131106 QKA131106:QKB131106 QTW131106:QTX131106 RDS131106:RDT131106 RNO131106:RNP131106 RXK131106:RXL131106 SHG131106:SHH131106 SRC131106:SRD131106 TAY131106:TAZ131106 TKU131106:TKV131106 TUQ131106:TUR131106 UEM131106:UEN131106 UOI131106:UOJ131106 UYE131106:UYF131106 VIA131106:VIB131106 VRW131106:VRX131106 WBS131106:WBT131106 WLO131106:WLP131106 WVK131106:WVL131106 C196642:D196642 IY196642:IZ196642 SU196642:SV196642 ACQ196642:ACR196642 AMM196642:AMN196642 AWI196642:AWJ196642 BGE196642:BGF196642 BQA196642:BQB196642 BZW196642:BZX196642 CJS196642:CJT196642 CTO196642:CTP196642 DDK196642:DDL196642 DNG196642:DNH196642 DXC196642:DXD196642 EGY196642:EGZ196642 EQU196642:EQV196642 FAQ196642:FAR196642 FKM196642:FKN196642 FUI196642:FUJ196642 GEE196642:GEF196642 GOA196642:GOB196642 GXW196642:GXX196642 HHS196642:HHT196642 HRO196642:HRP196642 IBK196642:IBL196642 ILG196642:ILH196642 IVC196642:IVD196642 JEY196642:JEZ196642 JOU196642:JOV196642 JYQ196642:JYR196642 KIM196642:KIN196642 KSI196642:KSJ196642 LCE196642:LCF196642 LMA196642:LMB196642 LVW196642:LVX196642 MFS196642:MFT196642 MPO196642:MPP196642 MZK196642:MZL196642 NJG196642:NJH196642 NTC196642:NTD196642 OCY196642:OCZ196642 OMU196642:OMV196642 OWQ196642:OWR196642 PGM196642:PGN196642 PQI196642:PQJ196642 QAE196642:QAF196642 QKA196642:QKB196642 QTW196642:QTX196642 RDS196642:RDT196642 RNO196642:RNP196642 RXK196642:RXL196642 SHG196642:SHH196642 SRC196642:SRD196642 TAY196642:TAZ196642 TKU196642:TKV196642 TUQ196642:TUR196642 UEM196642:UEN196642 UOI196642:UOJ196642 UYE196642:UYF196642 VIA196642:VIB196642 VRW196642:VRX196642 WBS196642:WBT196642 WLO196642:WLP196642 WVK196642:WVL196642 C262178:D262178 IY262178:IZ262178 SU262178:SV262178 ACQ262178:ACR262178 AMM262178:AMN262178 AWI262178:AWJ262178 BGE262178:BGF262178 BQA262178:BQB262178 BZW262178:BZX262178 CJS262178:CJT262178 CTO262178:CTP262178 DDK262178:DDL262178 DNG262178:DNH262178 DXC262178:DXD262178 EGY262178:EGZ262178 EQU262178:EQV262178 FAQ262178:FAR262178 FKM262178:FKN262178 FUI262178:FUJ262178 GEE262178:GEF262178 GOA262178:GOB262178 GXW262178:GXX262178 HHS262178:HHT262178 HRO262178:HRP262178 IBK262178:IBL262178 ILG262178:ILH262178 IVC262178:IVD262178 JEY262178:JEZ262178 JOU262178:JOV262178 JYQ262178:JYR262178 KIM262178:KIN262178 KSI262178:KSJ262178 LCE262178:LCF262178 LMA262178:LMB262178 LVW262178:LVX262178 MFS262178:MFT262178 MPO262178:MPP262178 MZK262178:MZL262178 NJG262178:NJH262178 NTC262178:NTD262178 OCY262178:OCZ262178 OMU262178:OMV262178 OWQ262178:OWR262178 PGM262178:PGN262178 PQI262178:PQJ262178 QAE262178:QAF262178 QKA262178:QKB262178 QTW262178:QTX262178 RDS262178:RDT262178 RNO262178:RNP262178 RXK262178:RXL262178 SHG262178:SHH262178 SRC262178:SRD262178 TAY262178:TAZ262178 TKU262178:TKV262178 TUQ262178:TUR262178 UEM262178:UEN262178 UOI262178:UOJ262178 UYE262178:UYF262178 VIA262178:VIB262178 VRW262178:VRX262178 WBS262178:WBT262178 WLO262178:WLP262178 WVK262178:WVL262178 C327714:D327714 IY327714:IZ327714 SU327714:SV327714 ACQ327714:ACR327714 AMM327714:AMN327714 AWI327714:AWJ327714 BGE327714:BGF327714 BQA327714:BQB327714 BZW327714:BZX327714 CJS327714:CJT327714 CTO327714:CTP327714 DDK327714:DDL327714 DNG327714:DNH327714 DXC327714:DXD327714 EGY327714:EGZ327714 EQU327714:EQV327714 FAQ327714:FAR327714 FKM327714:FKN327714 FUI327714:FUJ327714 GEE327714:GEF327714 GOA327714:GOB327714 GXW327714:GXX327714 HHS327714:HHT327714 HRO327714:HRP327714 IBK327714:IBL327714 ILG327714:ILH327714 IVC327714:IVD327714 JEY327714:JEZ327714 JOU327714:JOV327714 JYQ327714:JYR327714 KIM327714:KIN327714 KSI327714:KSJ327714 LCE327714:LCF327714 LMA327714:LMB327714 LVW327714:LVX327714 MFS327714:MFT327714 MPO327714:MPP327714 MZK327714:MZL327714 NJG327714:NJH327714 NTC327714:NTD327714 OCY327714:OCZ327714 OMU327714:OMV327714 OWQ327714:OWR327714 PGM327714:PGN327714 PQI327714:PQJ327714 QAE327714:QAF327714 QKA327714:QKB327714 QTW327714:QTX327714 RDS327714:RDT327714 RNO327714:RNP327714 RXK327714:RXL327714 SHG327714:SHH327714 SRC327714:SRD327714 TAY327714:TAZ327714 TKU327714:TKV327714 TUQ327714:TUR327714 UEM327714:UEN327714 UOI327714:UOJ327714 UYE327714:UYF327714 VIA327714:VIB327714 VRW327714:VRX327714 WBS327714:WBT327714 WLO327714:WLP327714 WVK327714:WVL327714 C393250:D393250 IY393250:IZ393250 SU393250:SV393250 ACQ393250:ACR393250 AMM393250:AMN393250 AWI393250:AWJ393250 BGE393250:BGF393250 BQA393250:BQB393250 BZW393250:BZX393250 CJS393250:CJT393250 CTO393250:CTP393250 DDK393250:DDL393250 DNG393250:DNH393250 DXC393250:DXD393250 EGY393250:EGZ393250 EQU393250:EQV393250 FAQ393250:FAR393250 FKM393250:FKN393250 FUI393250:FUJ393250 GEE393250:GEF393250 GOA393250:GOB393250 GXW393250:GXX393250 HHS393250:HHT393250 HRO393250:HRP393250 IBK393250:IBL393250 ILG393250:ILH393250 IVC393250:IVD393250 JEY393250:JEZ393250 JOU393250:JOV393250 JYQ393250:JYR393250 KIM393250:KIN393250 KSI393250:KSJ393250 LCE393250:LCF393250 LMA393250:LMB393250 LVW393250:LVX393250 MFS393250:MFT393250 MPO393250:MPP393250 MZK393250:MZL393250 NJG393250:NJH393250 NTC393250:NTD393250 OCY393250:OCZ393250 OMU393250:OMV393250 OWQ393250:OWR393250 PGM393250:PGN393250 PQI393250:PQJ393250 QAE393250:QAF393250 QKA393250:QKB393250 QTW393250:QTX393250 RDS393250:RDT393250 RNO393250:RNP393250 RXK393250:RXL393250 SHG393250:SHH393250 SRC393250:SRD393250 TAY393250:TAZ393250 TKU393250:TKV393250 TUQ393250:TUR393250 UEM393250:UEN393250 UOI393250:UOJ393250 UYE393250:UYF393250 VIA393250:VIB393250 VRW393250:VRX393250 WBS393250:WBT393250 WLO393250:WLP393250 WVK393250:WVL393250 C458786:D458786 IY458786:IZ458786 SU458786:SV458786 ACQ458786:ACR458786 AMM458786:AMN458786 AWI458786:AWJ458786 BGE458786:BGF458786 BQA458786:BQB458786 BZW458786:BZX458786 CJS458786:CJT458786 CTO458786:CTP458786 DDK458786:DDL458786 DNG458786:DNH458786 DXC458786:DXD458786 EGY458786:EGZ458786 EQU458786:EQV458786 FAQ458786:FAR458786 FKM458786:FKN458786 FUI458786:FUJ458786 GEE458786:GEF458786 GOA458786:GOB458786 GXW458786:GXX458786 HHS458786:HHT458786 HRO458786:HRP458786 IBK458786:IBL458786 ILG458786:ILH458786 IVC458786:IVD458786 JEY458786:JEZ458786 JOU458786:JOV458786 JYQ458786:JYR458786 KIM458786:KIN458786 KSI458786:KSJ458786 LCE458786:LCF458786 LMA458786:LMB458786 LVW458786:LVX458786 MFS458786:MFT458786 MPO458786:MPP458786 MZK458786:MZL458786 NJG458786:NJH458786 NTC458786:NTD458786 OCY458786:OCZ458786 OMU458786:OMV458786 OWQ458786:OWR458786 PGM458786:PGN458786 PQI458786:PQJ458786 QAE458786:QAF458786 QKA458786:QKB458786 QTW458786:QTX458786 RDS458786:RDT458786 RNO458786:RNP458786 RXK458786:RXL458786 SHG458786:SHH458786 SRC458786:SRD458786 TAY458786:TAZ458786 TKU458786:TKV458786 TUQ458786:TUR458786 UEM458786:UEN458786 UOI458786:UOJ458786 UYE458786:UYF458786 VIA458786:VIB458786 VRW458786:VRX458786 WBS458786:WBT458786 WLO458786:WLP458786 WVK458786:WVL458786 C524322:D524322 IY524322:IZ524322 SU524322:SV524322 ACQ524322:ACR524322 AMM524322:AMN524322 AWI524322:AWJ524322 BGE524322:BGF524322 BQA524322:BQB524322 BZW524322:BZX524322 CJS524322:CJT524322 CTO524322:CTP524322 DDK524322:DDL524322 DNG524322:DNH524322 DXC524322:DXD524322 EGY524322:EGZ524322 EQU524322:EQV524322 FAQ524322:FAR524322 FKM524322:FKN524322 FUI524322:FUJ524322 GEE524322:GEF524322 GOA524322:GOB524322 GXW524322:GXX524322 HHS524322:HHT524322 HRO524322:HRP524322 IBK524322:IBL524322 ILG524322:ILH524322 IVC524322:IVD524322 JEY524322:JEZ524322 JOU524322:JOV524322 JYQ524322:JYR524322 KIM524322:KIN524322 KSI524322:KSJ524322 LCE524322:LCF524322 LMA524322:LMB524322 LVW524322:LVX524322 MFS524322:MFT524322 MPO524322:MPP524322 MZK524322:MZL524322 NJG524322:NJH524322 NTC524322:NTD524322 OCY524322:OCZ524322 OMU524322:OMV524322 OWQ524322:OWR524322 PGM524322:PGN524322 PQI524322:PQJ524322 QAE524322:QAF524322 QKA524322:QKB524322 QTW524322:QTX524322 RDS524322:RDT524322 RNO524322:RNP524322 RXK524322:RXL524322 SHG524322:SHH524322 SRC524322:SRD524322 TAY524322:TAZ524322 TKU524322:TKV524322 TUQ524322:TUR524322 UEM524322:UEN524322 UOI524322:UOJ524322 UYE524322:UYF524322 VIA524322:VIB524322 VRW524322:VRX524322 WBS524322:WBT524322 WLO524322:WLP524322 WVK524322:WVL524322 C589858:D589858 IY589858:IZ589858 SU589858:SV589858 ACQ589858:ACR589858 AMM589858:AMN589858 AWI589858:AWJ589858 BGE589858:BGF589858 BQA589858:BQB589858 BZW589858:BZX589858 CJS589858:CJT589858 CTO589858:CTP589858 DDK589858:DDL589858 DNG589858:DNH589858 DXC589858:DXD589858 EGY589858:EGZ589858 EQU589858:EQV589858 FAQ589858:FAR589858 FKM589858:FKN589858 FUI589858:FUJ589858 GEE589858:GEF589858 GOA589858:GOB589858 GXW589858:GXX589858 HHS589858:HHT589858 HRO589858:HRP589858 IBK589858:IBL589858 ILG589858:ILH589858 IVC589858:IVD589858 JEY589858:JEZ589858 JOU589858:JOV589858 JYQ589858:JYR589858 KIM589858:KIN589858 KSI589858:KSJ589858 LCE589858:LCF589858 LMA589858:LMB589858 LVW589858:LVX589858 MFS589858:MFT589858 MPO589858:MPP589858 MZK589858:MZL589858 NJG589858:NJH589858 NTC589858:NTD589858 OCY589858:OCZ589858 OMU589858:OMV589858 OWQ589858:OWR589858 PGM589858:PGN589858 PQI589858:PQJ589858 QAE589858:QAF589858 QKA589858:QKB589858 QTW589858:QTX589858 RDS589858:RDT589858 RNO589858:RNP589858 RXK589858:RXL589858 SHG589858:SHH589858 SRC589858:SRD589858 TAY589858:TAZ589858 TKU589858:TKV589858 TUQ589858:TUR589858 UEM589858:UEN589858 UOI589858:UOJ589858 UYE589858:UYF589858 VIA589858:VIB589858 VRW589858:VRX589858 WBS589858:WBT589858 WLO589858:WLP589858 WVK589858:WVL589858 C655394:D655394 IY655394:IZ655394 SU655394:SV655394 ACQ655394:ACR655394 AMM655394:AMN655394 AWI655394:AWJ655394 BGE655394:BGF655394 BQA655394:BQB655394 BZW655394:BZX655394 CJS655394:CJT655394 CTO655394:CTP655394 DDK655394:DDL655394 DNG655394:DNH655394 DXC655394:DXD655394 EGY655394:EGZ655394 EQU655394:EQV655394 FAQ655394:FAR655394 FKM655394:FKN655394 FUI655394:FUJ655394 GEE655394:GEF655394 GOA655394:GOB655394 GXW655394:GXX655394 HHS655394:HHT655394 HRO655394:HRP655394 IBK655394:IBL655394 ILG655394:ILH655394 IVC655394:IVD655394 JEY655394:JEZ655394 JOU655394:JOV655394 JYQ655394:JYR655394 KIM655394:KIN655394 KSI655394:KSJ655394 LCE655394:LCF655394 LMA655394:LMB655394 LVW655394:LVX655394 MFS655394:MFT655394 MPO655394:MPP655394 MZK655394:MZL655394 NJG655394:NJH655394 NTC655394:NTD655394 OCY655394:OCZ655394 OMU655394:OMV655394 OWQ655394:OWR655394 PGM655394:PGN655394 PQI655394:PQJ655394 QAE655394:QAF655394 QKA655394:QKB655394 QTW655394:QTX655394 RDS655394:RDT655394 RNO655394:RNP655394 RXK655394:RXL655394 SHG655394:SHH655394 SRC655394:SRD655394 TAY655394:TAZ655394 TKU655394:TKV655394 TUQ655394:TUR655394 UEM655394:UEN655394 UOI655394:UOJ655394 UYE655394:UYF655394 VIA655394:VIB655394 VRW655394:VRX655394 WBS655394:WBT655394 WLO655394:WLP655394 WVK655394:WVL655394 C720930:D720930 IY720930:IZ720930 SU720930:SV720930 ACQ720930:ACR720930 AMM720930:AMN720930 AWI720930:AWJ720930 BGE720930:BGF720930 BQA720930:BQB720930 BZW720930:BZX720930 CJS720930:CJT720930 CTO720930:CTP720930 DDK720930:DDL720930 DNG720930:DNH720930 DXC720930:DXD720930 EGY720930:EGZ720930 EQU720930:EQV720930 FAQ720930:FAR720930 FKM720930:FKN720930 FUI720930:FUJ720930 GEE720930:GEF720930 GOA720930:GOB720930 GXW720930:GXX720930 HHS720930:HHT720930 HRO720930:HRP720930 IBK720930:IBL720930 ILG720930:ILH720930 IVC720930:IVD720930 JEY720930:JEZ720930 JOU720930:JOV720930 JYQ720930:JYR720930 KIM720930:KIN720930 KSI720930:KSJ720930 LCE720930:LCF720930 LMA720930:LMB720930 LVW720930:LVX720930 MFS720930:MFT720930 MPO720930:MPP720930 MZK720930:MZL720930 NJG720930:NJH720930 NTC720930:NTD720930 OCY720930:OCZ720930 OMU720930:OMV720930 OWQ720930:OWR720930 PGM720930:PGN720930 PQI720930:PQJ720930 QAE720930:QAF720930 QKA720930:QKB720930 QTW720930:QTX720930 RDS720930:RDT720930 RNO720930:RNP720930 RXK720930:RXL720930 SHG720930:SHH720930 SRC720930:SRD720930 TAY720930:TAZ720930 TKU720930:TKV720930 TUQ720930:TUR720930 UEM720930:UEN720930 UOI720930:UOJ720930 UYE720930:UYF720930 VIA720930:VIB720930 VRW720930:VRX720930 WBS720930:WBT720930 WLO720930:WLP720930 WVK720930:WVL720930 C786466:D786466 IY786466:IZ786466 SU786466:SV786466 ACQ786466:ACR786466 AMM786466:AMN786466 AWI786466:AWJ786466 BGE786466:BGF786466 BQA786466:BQB786466 BZW786466:BZX786466 CJS786466:CJT786466 CTO786466:CTP786466 DDK786466:DDL786466 DNG786466:DNH786466 DXC786466:DXD786466 EGY786466:EGZ786466 EQU786466:EQV786466 FAQ786466:FAR786466 FKM786466:FKN786466 FUI786466:FUJ786466 GEE786466:GEF786466 GOA786466:GOB786466 GXW786466:GXX786466 HHS786466:HHT786466 HRO786466:HRP786466 IBK786466:IBL786466 ILG786466:ILH786466 IVC786466:IVD786466 JEY786466:JEZ786466 JOU786466:JOV786466 JYQ786466:JYR786466 KIM786466:KIN786466 KSI786466:KSJ786466 LCE786466:LCF786466 LMA786466:LMB786466 LVW786466:LVX786466 MFS786466:MFT786466 MPO786466:MPP786466 MZK786466:MZL786466 NJG786466:NJH786466 NTC786466:NTD786466 OCY786466:OCZ786466 OMU786466:OMV786466 OWQ786466:OWR786466 PGM786466:PGN786466 PQI786466:PQJ786466 QAE786466:QAF786466 QKA786466:QKB786466 QTW786466:QTX786466 RDS786466:RDT786466 RNO786466:RNP786466 RXK786466:RXL786466 SHG786466:SHH786466 SRC786466:SRD786466 TAY786466:TAZ786466 TKU786466:TKV786466 TUQ786466:TUR786466 UEM786466:UEN786466 UOI786466:UOJ786466 UYE786466:UYF786466 VIA786466:VIB786466 VRW786466:VRX786466 WBS786466:WBT786466 WLO786466:WLP786466 WVK786466:WVL786466 C852002:D852002 IY852002:IZ852002 SU852002:SV852002 ACQ852002:ACR852002 AMM852002:AMN852002 AWI852002:AWJ852002 BGE852002:BGF852002 BQA852002:BQB852002 BZW852002:BZX852002 CJS852002:CJT852002 CTO852002:CTP852002 DDK852002:DDL852002 DNG852002:DNH852002 DXC852002:DXD852002 EGY852002:EGZ852002 EQU852002:EQV852002 FAQ852002:FAR852002 FKM852002:FKN852002 FUI852002:FUJ852002 GEE852002:GEF852002 GOA852002:GOB852002 GXW852002:GXX852002 HHS852002:HHT852002 HRO852002:HRP852002 IBK852002:IBL852002 ILG852002:ILH852002 IVC852002:IVD852002 JEY852002:JEZ852002 JOU852002:JOV852002 JYQ852002:JYR852002 KIM852002:KIN852002 KSI852002:KSJ852002 LCE852002:LCF852002 LMA852002:LMB852002 LVW852002:LVX852002 MFS852002:MFT852002 MPO852002:MPP852002 MZK852002:MZL852002 NJG852002:NJH852002 NTC852002:NTD852002 OCY852002:OCZ852002 OMU852002:OMV852002 OWQ852002:OWR852002 PGM852002:PGN852002 PQI852002:PQJ852002 QAE852002:QAF852002 QKA852002:QKB852002 QTW852002:QTX852002 RDS852002:RDT852002 RNO852002:RNP852002 RXK852002:RXL852002 SHG852002:SHH852002 SRC852002:SRD852002 TAY852002:TAZ852002 TKU852002:TKV852002 TUQ852002:TUR852002 UEM852002:UEN852002 UOI852002:UOJ852002 UYE852002:UYF852002 VIA852002:VIB852002 VRW852002:VRX852002 WBS852002:WBT852002 WLO852002:WLP852002 WVK852002:WVL852002 C917538:D917538 IY917538:IZ917538 SU917538:SV917538 ACQ917538:ACR917538 AMM917538:AMN917538 AWI917538:AWJ917538 BGE917538:BGF917538 BQA917538:BQB917538 BZW917538:BZX917538 CJS917538:CJT917538 CTO917538:CTP917538 DDK917538:DDL917538 DNG917538:DNH917538 DXC917538:DXD917538 EGY917538:EGZ917538 EQU917538:EQV917538 FAQ917538:FAR917538 FKM917538:FKN917538 FUI917538:FUJ917538 GEE917538:GEF917538 GOA917538:GOB917538 GXW917538:GXX917538 HHS917538:HHT917538 HRO917538:HRP917538 IBK917538:IBL917538 ILG917538:ILH917538 IVC917538:IVD917538 JEY917538:JEZ917538 JOU917538:JOV917538 JYQ917538:JYR917538 KIM917538:KIN917538 KSI917538:KSJ917538 LCE917538:LCF917538 LMA917538:LMB917538 LVW917538:LVX917538 MFS917538:MFT917538 MPO917538:MPP917538 MZK917538:MZL917538 NJG917538:NJH917538 NTC917538:NTD917538 OCY917538:OCZ917538 OMU917538:OMV917538 OWQ917538:OWR917538 PGM917538:PGN917538 PQI917538:PQJ917538 QAE917538:QAF917538 QKA917538:QKB917538 QTW917538:QTX917538 RDS917538:RDT917538 RNO917538:RNP917538 RXK917538:RXL917538 SHG917538:SHH917538 SRC917538:SRD917538 TAY917538:TAZ917538 TKU917538:TKV917538 TUQ917538:TUR917538 UEM917538:UEN917538 UOI917538:UOJ917538 UYE917538:UYF917538 VIA917538:VIB917538 VRW917538:VRX917538 WBS917538:WBT917538 WLO917538:WLP917538 WVK917538:WVL917538 C983074:D983074 IY983074:IZ983074 SU983074:SV983074 ACQ983074:ACR983074 AMM983074:AMN983074 AWI983074:AWJ983074 BGE983074:BGF983074 BQA983074:BQB983074 BZW983074:BZX983074 CJS983074:CJT983074 CTO983074:CTP983074 DDK983074:DDL983074 DNG983074:DNH983074 DXC983074:DXD983074 EGY983074:EGZ983074 EQU983074:EQV983074 FAQ983074:FAR983074 FKM983074:FKN983074 FUI983074:FUJ983074 GEE983074:GEF983074 GOA983074:GOB983074 GXW983074:GXX983074 HHS983074:HHT983074 HRO983074:HRP983074 IBK983074:IBL983074 ILG983074:ILH983074 IVC983074:IVD983074 JEY983074:JEZ983074 JOU983074:JOV983074 JYQ983074:JYR983074 KIM983074:KIN983074 KSI983074:KSJ983074 LCE983074:LCF983074 LMA983074:LMB983074 LVW983074:LVX983074 MFS983074:MFT983074 MPO983074:MPP983074 MZK983074:MZL983074 NJG983074:NJH983074 NTC983074:NTD983074 OCY983074:OCZ983074 OMU983074:OMV983074 OWQ983074:OWR983074 PGM983074:PGN983074 PQI983074:PQJ983074 QAE983074:QAF983074 QKA983074:QKB983074 QTW983074:QTX983074 RDS983074:RDT983074 RNO983074:RNP983074 RXK983074:RXL983074 SHG983074:SHH983074 SRC983074:SRD983074 TAY983074:TAZ983074 TKU983074:TKV983074 TUQ983074:TUR983074 UEM983074:UEN983074 UOI983074:UOJ983074 UYE983074:UYF983074 VIA983074:VIB983074 VRW983074:VRX983074 WBS983074:WBT983074 WLO983074:WLP983074 WVK983074:WVL983074 C50:D50 IY50:IZ50 SU50:SV50 ACQ50:ACR50 AMM50:AMN50 AWI50:AWJ50 BGE50:BGF50 BQA50:BQB50 BZW50:BZX50 CJS50:CJT50 CTO50:CTP50 DDK50:DDL50 DNG50:DNH50 DXC50:DXD50 EGY50:EGZ50 EQU50:EQV50 FAQ50:FAR50 FKM50:FKN50 FUI50:FUJ50 GEE50:GEF50 GOA50:GOB50 GXW50:GXX50 HHS50:HHT50 HRO50:HRP50 IBK50:IBL50 ILG50:ILH50 IVC50:IVD50 JEY50:JEZ50 JOU50:JOV50 JYQ50:JYR50 KIM50:KIN50 KSI50:KSJ50 LCE50:LCF50 LMA50:LMB50 LVW50:LVX50 MFS50:MFT50 MPO50:MPP50 MZK50:MZL50 NJG50:NJH50 NTC50:NTD50 OCY50:OCZ50 OMU50:OMV50 OWQ50:OWR50 PGM50:PGN50 PQI50:PQJ50 QAE50:QAF50 QKA50:QKB50 QTW50:QTX50 RDS50:RDT50 RNO50:RNP50 RXK50:RXL50 SHG50:SHH50 SRC50:SRD50 TAY50:TAZ50 TKU50:TKV50 TUQ50:TUR50 UEM50:UEN50 UOI50:UOJ50 UYE50:UYF50 VIA50:VIB50 VRW50:VRX50 WBS50:WBT50 WLO50:WLP50 WVK50:WVL50 C65586:D65586 IY65586:IZ65586 SU65586:SV65586 ACQ65586:ACR65586 AMM65586:AMN65586 AWI65586:AWJ65586 BGE65586:BGF65586 BQA65586:BQB65586 BZW65586:BZX65586 CJS65586:CJT65586 CTO65586:CTP65586 DDK65586:DDL65586 DNG65586:DNH65586 DXC65586:DXD65586 EGY65586:EGZ65586 EQU65586:EQV65586 FAQ65586:FAR65586 FKM65586:FKN65586 FUI65586:FUJ65586 GEE65586:GEF65586 GOA65586:GOB65586 GXW65586:GXX65586 HHS65586:HHT65586 HRO65586:HRP65586 IBK65586:IBL65586 ILG65586:ILH65586 IVC65586:IVD65586 JEY65586:JEZ65586 JOU65586:JOV65586 JYQ65586:JYR65586 KIM65586:KIN65586 KSI65586:KSJ65586 LCE65586:LCF65586 LMA65586:LMB65586 LVW65586:LVX65586 MFS65586:MFT65586 MPO65586:MPP65586 MZK65586:MZL65586 NJG65586:NJH65586 NTC65586:NTD65586 OCY65586:OCZ65586 OMU65586:OMV65586 OWQ65586:OWR65586 PGM65586:PGN65586 PQI65586:PQJ65586 QAE65586:QAF65586 QKA65586:QKB65586 QTW65586:QTX65586 RDS65586:RDT65586 RNO65586:RNP65586 RXK65586:RXL65586 SHG65586:SHH65586 SRC65586:SRD65586 TAY65586:TAZ65586 TKU65586:TKV65586 TUQ65586:TUR65586 UEM65586:UEN65586 UOI65586:UOJ65586 UYE65586:UYF65586 VIA65586:VIB65586 VRW65586:VRX65586 WBS65586:WBT65586 WLO65586:WLP65586 WVK65586:WVL65586 C131122:D131122 IY131122:IZ131122 SU131122:SV131122 ACQ131122:ACR131122 AMM131122:AMN131122 AWI131122:AWJ131122 BGE131122:BGF131122 BQA131122:BQB131122 BZW131122:BZX131122 CJS131122:CJT131122 CTO131122:CTP131122 DDK131122:DDL131122 DNG131122:DNH131122 DXC131122:DXD131122 EGY131122:EGZ131122 EQU131122:EQV131122 FAQ131122:FAR131122 FKM131122:FKN131122 FUI131122:FUJ131122 GEE131122:GEF131122 GOA131122:GOB131122 GXW131122:GXX131122 HHS131122:HHT131122 HRO131122:HRP131122 IBK131122:IBL131122 ILG131122:ILH131122 IVC131122:IVD131122 JEY131122:JEZ131122 JOU131122:JOV131122 JYQ131122:JYR131122 KIM131122:KIN131122 KSI131122:KSJ131122 LCE131122:LCF131122 LMA131122:LMB131122 LVW131122:LVX131122 MFS131122:MFT131122 MPO131122:MPP131122 MZK131122:MZL131122 NJG131122:NJH131122 NTC131122:NTD131122 OCY131122:OCZ131122 OMU131122:OMV131122 OWQ131122:OWR131122 PGM131122:PGN131122 PQI131122:PQJ131122 QAE131122:QAF131122 QKA131122:QKB131122 QTW131122:QTX131122 RDS131122:RDT131122 RNO131122:RNP131122 RXK131122:RXL131122 SHG131122:SHH131122 SRC131122:SRD131122 TAY131122:TAZ131122 TKU131122:TKV131122 TUQ131122:TUR131122 UEM131122:UEN131122 UOI131122:UOJ131122 UYE131122:UYF131122 VIA131122:VIB131122 VRW131122:VRX131122 WBS131122:WBT131122 WLO131122:WLP131122 WVK131122:WVL131122 C196658:D196658 IY196658:IZ196658 SU196658:SV196658 ACQ196658:ACR196658 AMM196658:AMN196658 AWI196658:AWJ196658 BGE196658:BGF196658 BQA196658:BQB196658 BZW196658:BZX196658 CJS196658:CJT196658 CTO196658:CTP196658 DDK196658:DDL196658 DNG196658:DNH196658 DXC196658:DXD196658 EGY196658:EGZ196658 EQU196658:EQV196658 FAQ196658:FAR196658 FKM196658:FKN196658 FUI196658:FUJ196658 GEE196658:GEF196658 GOA196658:GOB196658 GXW196658:GXX196658 HHS196658:HHT196658 HRO196658:HRP196658 IBK196658:IBL196658 ILG196658:ILH196658 IVC196658:IVD196658 JEY196658:JEZ196658 JOU196658:JOV196658 JYQ196658:JYR196658 KIM196658:KIN196658 KSI196658:KSJ196658 LCE196658:LCF196658 LMA196658:LMB196658 LVW196658:LVX196658 MFS196658:MFT196658 MPO196658:MPP196658 MZK196658:MZL196658 NJG196658:NJH196658 NTC196658:NTD196658 OCY196658:OCZ196658 OMU196658:OMV196658 OWQ196658:OWR196658 PGM196658:PGN196658 PQI196658:PQJ196658 QAE196658:QAF196658 QKA196658:QKB196658 QTW196658:QTX196658 RDS196658:RDT196658 RNO196658:RNP196658 RXK196658:RXL196658 SHG196658:SHH196658 SRC196658:SRD196658 TAY196658:TAZ196658 TKU196658:TKV196658 TUQ196658:TUR196658 UEM196658:UEN196658 UOI196658:UOJ196658 UYE196658:UYF196658 VIA196658:VIB196658 VRW196658:VRX196658 WBS196658:WBT196658 WLO196658:WLP196658 WVK196658:WVL196658 C262194:D262194 IY262194:IZ262194 SU262194:SV262194 ACQ262194:ACR262194 AMM262194:AMN262194 AWI262194:AWJ262194 BGE262194:BGF262194 BQA262194:BQB262194 BZW262194:BZX262194 CJS262194:CJT262194 CTO262194:CTP262194 DDK262194:DDL262194 DNG262194:DNH262194 DXC262194:DXD262194 EGY262194:EGZ262194 EQU262194:EQV262194 FAQ262194:FAR262194 FKM262194:FKN262194 FUI262194:FUJ262194 GEE262194:GEF262194 GOA262194:GOB262194 GXW262194:GXX262194 HHS262194:HHT262194 HRO262194:HRP262194 IBK262194:IBL262194 ILG262194:ILH262194 IVC262194:IVD262194 JEY262194:JEZ262194 JOU262194:JOV262194 JYQ262194:JYR262194 KIM262194:KIN262194 KSI262194:KSJ262194 LCE262194:LCF262194 LMA262194:LMB262194 LVW262194:LVX262194 MFS262194:MFT262194 MPO262194:MPP262194 MZK262194:MZL262194 NJG262194:NJH262194 NTC262194:NTD262194 OCY262194:OCZ262194 OMU262194:OMV262194 OWQ262194:OWR262194 PGM262194:PGN262194 PQI262194:PQJ262194 QAE262194:QAF262194 QKA262194:QKB262194 QTW262194:QTX262194 RDS262194:RDT262194 RNO262194:RNP262194 RXK262194:RXL262194 SHG262194:SHH262194 SRC262194:SRD262194 TAY262194:TAZ262194 TKU262194:TKV262194 TUQ262194:TUR262194 UEM262194:UEN262194 UOI262194:UOJ262194 UYE262194:UYF262194 VIA262194:VIB262194 VRW262194:VRX262194 WBS262194:WBT262194 WLO262194:WLP262194 WVK262194:WVL262194 C327730:D327730 IY327730:IZ327730 SU327730:SV327730 ACQ327730:ACR327730 AMM327730:AMN327730 AWI327730:AWJ327730 BGE327730:BGF327730 BQA327730:BQB327730 BZW327730:BZX327730 CJS327730:CJT327730 CTO327730:CTP327730 DDK327730:DDL327730 DNG327730:DNH327730 DXC327730:DXD327730 EGY327730:EGZ327730 EQU327730:EQV327730 FAQ327730:FAR327730 FKM327730:FKN327730 FUI327730:FUJ327730 GEE327730:GEF327730 GOA327730:GOB327730 GXW327730:GXX327730 HHS327730:HHT327730 HRO327730:HRP327730 IBK327730:IBL327730 ILG327730:ILH327730 IVC327730:IVD327730 JEY327730:JEZ327730 JOU327730:JOV327730 JYQ327730:JYR327730 KIM327730:KIN327730 KSI327730:KSJ327730 LCE327730:LCF327730 LMA327730:LMB327730 LVW327730:LVX327730 MFS327730:MFT327730 MPO327730:MPP327730 MZK327730:MZL327730 NJG327730:NJH327730 NTC327730:NTD327730 OCY327730:OCZ327730 OMU327730:OMV327730 OWQ327730:OWR327730 PGM327730:PGN327730 PQI327730:PQJ327730 QAE327730:QAF327730 QKA327730:QKB327730 QTW327730:QTX327730 RDS327730:RDT327730 RNO327730:RNP327730 RXK327730:RXL327730 SHG327730:SHH327730 SRC327730:SRD327730 TAY327730:TAZ327730 TKU327730:TKV327730 TUQ327730:TUR327730 UEM327730:UEN327730 UOI327730:UOJ327730 UYE327730:UYF327730 VIA327730:VIB327730 VRW327730:VRX327730 WBS327730:WBT327730 WLO327730:WLP327730 WVK327730:WVL327730 C393266:D393266 IY393266:IZ393266 SU393266:SV393266 ACQ393266:ACR393266 AMM393266:AMN393266 AWI393266:AWJ393266 BGE393266:BGF393266 BQA393266:BQB393266 BZW393266:BZX393266 CJS393266:CJT393266 CTO393266:CTP393266 DDK393266:DDL393266 DNG393266:DNH393266 DXC393266:DXD393266 EGY393266:EGZ393266 EQU393266:EQV393266 FAQ393266:FAR393266 FKM393266:FKN393266 FUI393266:FUJ393266 GEE393266:GEF393266 GOA393266:GOB393266 GXW393266:GXX393266 HHS393266:HHT393266 HRO393266:HRP393266 IBK393266:IBL393266 ILG393266:ILH393266 IVC393266:IVD393266 JEY393266:JEZ393266 JOU393266:JOV393266 JYQ393266:JYR393266 KIM393266:KIN393266 KSI393266:KSJ393266 LCE393266:LCF393266 LMA393266:LMB393266 LVW393266:LVX393266 MFS393266:MFT393266 MPO393266:MPP393266 MZK393266:MZL393266 NJG393266:NJH393266 NTC393266:NTD393266 OCY393266:OCZ393266 OMU393266:OMV393266 OWQ393266:OWR393266 PGM393266:PGN393266 PQI393266:PQJ393266 QAE393266:QAF393266 QKA393266:QKB393266 QTW393266:QTX393266 RDS393266:RDT393266 RNO393266:RNP393266 RXK393266:RXL393266 SHG393266:SHH393266 SRC393266:SRD393266 TAY393266:TAZ393266 TKU393266:TKV393266 TUQ393266:TUR393266 UEM393266:UEN393266 UOI393266:UOJ393266 UYE393266:UYF393266 VIA393266:VIB393266 VRW393266:VRX393266 WBS393266:WBT393266 WLO393266:WLP393266 WVK393266:WVL393266 C458802:D458802 IY458802:IZ458802 SU458802:SV458802 ACQ458802:ACR458802 AMM458802:AMN458802 AWI458802:AWJ458802 BGE458802:BGF458802 BQA458802:BQB458802 BZW458802:BZX458802 CJS458802:CJT458802 CTO458802:CTP458802 DDK458802:DDL458802 DNG458802:DNH458802 DXC458802:DXD458802 EGY458802:EGZ458802 EQU458802:EQV458802 FAQ458802:FAR458802 FKM458802:FKN458802 FUI458802:FUJ458802 GEE458802:GEF458802 GOA458802:GOB458802 GXW458802:GXX458802 HHS458802:HHT458802 HRO458802:HRP458802 IBK458802:IBL458802 ILG458802:ILH458802 IVC458802:IVD458802 JEY458802:JEZ458802 JOU458802:JOV458802 JYQ458802:JYR458802 KIM458802:KIN458802 KSI458802:KSJ458802 LCE458802:LCF458802 LMA458802:LMB458802 LVW458802:LVX458802 MFS458802:MFT458802 MPO458802:MPP458802 MZK458802:MZL458802 NJG458802:NJH458802 NTC458802:NTD458802 OCY458802:OCZ458802 OMU458802:OMV458802 OWQ458802:OWR458802 PGM458802:PGN458802 PQI458802:PQJ458802 QAE458802:QAF458802 QKA458802:QKB458802 QTW458802:QTX458802 RDS458802:RDT458802 RNO458802:RNP458802 RXK458802:RXL458802 SHG458802:SHH458802 SRC458802:SRD458802 TAY458802:TAZ458802 TKU458802:TKV458802 TUQ458802:TUR458802 UEM458802:UEN458802 UOI458802:UOJ458802 UYE458802:UYF458802 VIA458802:VIB458802 VRW458802:VRX458802 WBS458802:WBT458802 WLO458802:WLP458802 WVK458802:WVL458802 C524338:D524338 IY524338:IZ524338 SU524338:SV524338 ACQ524338:ACR524338 AMM524338:AMN524338 AWI524338:AWJ524338 BGE524338:BGF524338 BQA524338:BQB524338 BZW524338:BZX524338 CJS524338:CJT524338 CTO524338:CTP524338 DDK524338:DDL524338 DNG524338:DNH524338 DXC524338:DXD524338 EGY524338:EGZ524338 EQU524338:EQV524338 FAQ524338:FAR524338 FKM524338:FKN524338 FUI524338:FUJ524338 GEE524338:GEF524338 GOA524338:GOB524338 GXW524338:GXX524338 HHS524338:HHT524338 HRO524338:HRP524338 IBK524338:IBL524338 ILG524338:ILH524338 IVC524338:IVD524338 JEY524338:JEZ524338 JOU524338:JOV524338 JYQ524338:JYR524338 KIM524338:KIN524338 KSI524338:KSJ524338 LCE524338:LCF524338 LMA524338:LMB524338 LVW524338:LVX524338 MFS524338:MFT524338 MPO524338:MPP524338 MZK524338:MZL524338 NJG524338:NJH524338 NTC524338:NTD524338 OCY524338:OCZ524338 OMU524338:OMV524338 OWQ524338:OWR524338 PGM524338:PGN524338 PQI524338:PQJ524338 QAE524338:QAF524338 QKA524338:QKB524338 QTW524338:QTX524338 RDS524338:RDT524338 RNO524338:RNP524338 RXK524338:RXL524338 SHG524338:SHH524338 SRC524338:SRD524338 TAY524338:TAZ524338 TKU524338:TKV524338 TUQ524338:TUR524338 UEM524338:UEN524338 UOI524338:UOJ524338 UYE524338:UYF524338 VIA524338:VIB524338 VRW524338:VRX524338 WBS524338:WBT524338 WLO524338:WLP524338 WVK524338:WVL524338 C589874:D589874 IY589874:IZ589874 SU589874:SV589874 ACQ589874:ACR589874 AMM589874:AMN589874 AWI589874:AWJ589874 BGE589874:BGF589874 BQA589874:BQB589874 BZW589874:BZX589874 CJS589874:CJT589874 CTO589874:CTP589874 DDK589874:DDL589874 DNG589874:DNH589874 DXC589874:DXD589874 EGY589874:EGZ589874 EQU589874:EQV589874 FAQ589874:FAR589874 FKM589874:FKN589874 FUI589874:FUJ589874 GEE589874:GEF589874 GOA589874:GOB589874 GXW589874:GXX589874 HHS589874:HHT589874 HRO589874:HRP589874 IBK589874:IBL589874 ILG589874:ILH589874 IVC589874:IVD589874 JEY589874:JEZ589874 JOU589874:JOV589874 JYQ589874:JYR589874 KIM589874:KIN589874 KSI589874:KSJ589874 LCE589874:LCF589874 LMA589874:LMB589874 LVW589874:LVX589874 MFS589874:MFT589874 MPO589874:MPP589874 MZK589874:MZL589874 NJG589874:NJH589874 NTC589874:NTD589874 OCY589874:OCZ589874 OMU589874:OMV589874 OWQ589874:OWR589874 PGM589874:PGN589874 PQI589874:PQJ589874 QAE589874:QAF589874 QKA589874:QKB589874 QTW589874:QTX589874 RDS589874:RDT589874 RNO589874:RNP589874 RXK589874:RXL589874 SHG589874:SHH589874 SRC589874:SRD589874 TAY589874:TAZ589874 TKU589874:TKV589874 TUQ589874:TUR589874 UEM589874:UEN589874 UOI589874:UOJ589874 UYE589874:UYF589874 VIA589874:VIB589874 VRW589874:VRX589874 WBS589874:WBT589874 WLO589874:WLP589874 WVK589874:WVL589874 C655410:D655410 IY655410:IZ655410 SU655410:SV655410 ACQ655410:ACR655410 AMM655410:AMN655410 AWI655410:AWJ655410 BGE655410:BGF655410 BQA655410:BQB655410 BZW655410:BZX655410 CJS655410:CJT655410 CTO655410:CTP655410 DDK655410:DDL655410 DNG655410:DNH655410 DXC655410:DXD655410 EGY655410:EGZ655410 EQU655410:EQV655410 FAQ655410:FAR655410 FKM655410:FKN655410 FUI655410:FUJ655410 GEE655410:GEF655410 GOA655410:GOB655410 GXW655410:GXX655410 HHS655410:HHT655410 HRO655410:HRP655410 IBK655410:IBL655410 ILG655410:ILH655410 IVC655410:IVD655410 JEY655410:JEZ655410 JOU655410:JOV655410 JYQ655410:JYR655410 KIM655410:KIN655410 KSI655410:KSJ655410 LCE655410:LCF655410 LMA655410:LMB655410 LVW655410:LVX655410 MFS655410:MFT655410 MPO655410:MPP655410 MZK655410:MZL655410 NJG655410:NJH655410 NTC655410:NTD655410 OCY655410:OCZ655410 OMU655410:OMV655410 OWQ655410:OWR655410 PGM655410:PGN655410 PQI655410:PQJ655410 QAE655410:QAF655410 QKA655410:QKB655410 QTW655410:QTX655410 RDS655410:RDT655410 RNO655410:RNP655410 RXK655410:RXL655410 SHG655410:SHH655410 SRC655410:SRD655410 TAY655410:TAZ655410 TKU655410:TKV655410 TUQ655410:TUR655410 UEM655410:UEN655410 UOI655410:UOJ655410 UYE655410:UYF655410 VIA655410:VIB655410 VRW655410:VRX655410 WBS655410:WBT655410 WLO655410:WLP655410 WVK655410:WVL655410 C720946:D720946 IY720946:IZ720946 SU720946:SV720946 ACQ720946:ACR720946 AMM720946:AMN720946 AWI720946:AWJ720946 BGE720946:BGF720946 BQA720946:BQB720946 BZW720946:BZX720946 CJS720946:CJT720946 CTO720946:CTP720946 DDK720946:DDL720946 DNG720946:DNH720946 DXC720946:DXD720946 EGY720946:EGZ720946 EQU720946:EQV720946 FAQ720946:FAR720946 FKM720946:FKN720946 FUI720946:FUJ720946 GEE720946:GEF720946 GOA720946:GOB720946 GXW720946:GXX720946 HHS720946:HHT720946 HRO720946:HRP720946 IBK720946:IBL720946 ILG720946:ILH720946 IVC720946:IVD720946 JEY720946:JEZ720946 JOU720946:JOV720946 JYQ720946:JYR720946 KIM720946:KIN720946 KSI720946:KSJ720946 LCE720946:LCF720946 LMA720946:LMB720946 LVW720946:LVX720946 MFS720946:MFT720946 MPO720946:MPP720946 MZK720946:MZL720946 NJG720946:NJH720946 NTC720946:NTD720946 OCY720946:OCZ720946 OMU720946:OMV720946 OWQ720946:OWR720946 PGM720946:PGN720946 PQI720946:PQJ720946 QAE720946:QAF720946 QKA720946:QKB720946 QTW720946:QTX720946 RDS720946:RDT720946 RNO720946:RNP720946 RXK720946:RXL720946 SHG720946:SHH720946 SRC720946:SRD720946 TAY720946:TAZ720946 TKU720946:TKV720946 TUQ720946:TUR720946 UEM720946:UEN720946 UOI720946:UOJ720946 UYE720946:UYF720946 VIA720946:VIB720946 VRW720946:VRX720946 WBS720946:WBT720946 WLO720946:WLP720946 WVK720946:WVL720946 C786482:D786482 IY786482:IZ786482 SU786482:SV786482 ACQ786482:ACR786482 AMM786482:AMN786482 AWI786482:AWJ786482 BGE786482:BGF786482 BQA786482:BQB786482 BZW786482:BZX786482 CJS786482:CJT786482 CTO786482:CTP786482 DDK786482:DDL786482 DNG786482:DNH786482 DXC786482:DXD786482 EGY786482:EGZ786482 EQU786482:EQV786482 FAQ786482:FAR786482 FKM786482:FKN786482 FUI786482:FUJ786482 GEE786482:GEF786482 GOA786482:GOB786482 GXW786482:GXX786482 HHS786482:HHT786482 HRO786482:HRP786482 IBK786482:IBL786482 ILG786482:ILH786482 IVC786482:IVD786482 JEY786482:JEZ786482 JOU786482:JOV786482 JYQ786482:JYR786482 KIM786482:KIN786482 KSI786482:KSJ786482 LCE786482:LCF786482 LMA786482:LMB786482 LVW786482:LVX786482 MFS786482:MFT786482 MPO786482:MPP786482 MZK786482:MZL786482 NJG786482:NJH786482 NTC786482:NTD786482 OCY786482:OCZ786482 OMU786482:OMV786482 OWQ786482:OWR786482 PGM786482:PGN786482 PQI786482:PQJ786482 QAE786482:QAF786482 QKA786482:QKB786482 QTW786482:QTX786482 RDS786482:RDT786482 RNO786482:RNP786482 RXK786482:RXL786482 SHG786482:SHH786482 SRC786482:SRD786482 TAY786482:TAZ786482 TKU786482:TKV786482 TUQ786482:TUR786482 UEM786482:UEN786482 UOI786482:UOJ786482 UYE786482:UYF786482 VIA786482:VIB786482 VRW786482:VRX786482 WBS786482:WBT786482 WLO786482:WLP786482 WVK786482:WVL786482 C852018:D852018 IY852018:IZ852018 SU852018:SV852018 ACQ852018:ACR852018 AMM852018:AMN852018 AWI852018:AWJ852018 BGE852018:BGF852018 BQA852018:BQB852018 BZW852018:BZX852018 CJS852018:CJT852018 CTO852018:CTP852018 DDK852018:DDL852018 DNG852018:DNH852018 DXC852018:DXD852018 EGY852018:EGZ852018 EQU852018:EQV852018 FAQ852018:FAR852018 FKM852018:FKN852018 FUI852018:FUJ852018 GEE852018:GEF852018 GOA852018:GOB852018 GXW852018:GXX852018 HHS852018:HHT852018 HRO852018:HRP852018 IBK852018:IBL852018 ILG852018:ILH852018 IVC852018:IVD852018 JEY852018:JEZ852018 JOU852018:JOV852018 JYQ852018:JYR852018 KIM852018:KIN852018 KSI852018:KSJ852018 LCE852018:LCF852018 LMA852018:LMB852018 LVW852018:LVX852018 MFS852018:MFT852018 MPO852018:MPP852018 MZK852018:MZL852018 NJG852018:NJH852018 NTC852018:NTD852018 OCY852018:OCZ852018 OMU852018:OMV852018 OWQ852018:OWR852018 PGM852018:PGN852018 PQI852018:PQJ852018 QAE852018:QAF852018 QKA852018:QKB852018 QTW852018:QTX852018 RDS852018:RDT852018 RNO852018:RNP852018 RXK852018:RXL852018 SHG852018:SHH852018 SRC852018:SRD852018 TAY852018:TAZ852018 TKU852018:TKV852018 TUQ852018:TUR852018 UEM852018:UEN852018 UOI852018:UOJ852018 UYE852018:UYF852018 VIA852018:VIB852018 VRW852018:VRX852018 WBS852018:WBT852018 WLO852018:WLP852018 WVK852018:WVL852018 C917554:D917554 IY917554:IZ917554 SU917554:SV917554 ACQ917554:ACR917554 AMM917554:AMN917554 AWI917554:AWJ917554 BGE917554:BGF917554 BQA917554:BQB917554 BZW917554:BZX917554 CJS917554:CJT917554 CTO917554:CTP917554 DDK917554:DDL917554 DNG917554:DNH917554 DXC917554:DXD917554 EGY917554:EGZ917554 EQU917554:EQV917554 FAQ917554:FAR917554 FKM917554:FKN917554 FUI917554:FUJ917554 GEE917554:GEF917554 GOA917554:GOB917554 GXW917554:GXX917554 HHS917554:HHT917554 HRO917554:HRP917554 IBK917554:IBL917554 ILG917554:ILH917554 IVC917554:IVD917554 JEY917554:JEZ917554 JOU917554:JOV917554 JYQ917554:JYR917554 KIM917554:KIN917554 KSI917554:KSJ917554 LCE917554:LCF917554 LMA917554:LMB917554 LVW917554:LVX917554 MFS917554:MFT917554 MPO917554:MPP917554 MZK917554:MZL917554 NJG917554:NJH917554 NTC917554:NTD917554 OCY917554:OCZ917554 OMU917554:OMV917554 OWQ917554:OWR917554 PGM917554:PGN917554 PQI917554:PQJ917554 QAE917554:QAF917554 QKA917554:QKB917554 QTW917554:QTX917554 RDS917554:RDT917554 RNO917554:RNP917554 RXK917554:RXL917554 SHG917554:SHH917554 SRC917554:SRD917554 TAY917554:TAZ917554 TKU917554:TKV917554 TUQ917554:TUR917554 UEM917554:UEN917554 UOI917554:UOJ917554 UYE917554:UYF917554 VIA917554:VIB917554 VRW917554:VRX917554 WBS917554:WBT917554 WLO917554:WLP917554 WVK917554:WVL917554 C983090:D983090 IY983090:IZ983090 SU983090:SV983090 ACQ983090:ACR983090 AMM983090:AMN983090 AWI983090:AWJ983090 BGE983090:BGF983090 BQA983090:BQB983090 BZW983090:BZX983090 CJS983090:CJT983090 CTO983090:CTP983090 DDK983090:DDL983090 DNG983090:DNH983090 DXC983090:DXD983090 EGY983090:EGZ983090 EQU983090:EQV983090 FAQ983090:FAR983090 FKM983090:FKN983090 FUI983090:FUJ983090 GEE983090:GEF983090 GOA983090:GOB983090 GXW983090:GXX983090 HHS983090:HHT983090 HRO983090:HRP983090 IBK983090:IBL983090 ILG983090:ILH983090 IVC983090:IVD983090 JEY983090:JEZ983090 JOU983090:JOV983090 JYQ983090:JYR983090 KIM983090:KIN983090 KSI983090:KSJ983090 LCE983090:LCF983090 LMA983090:LMB983090 LVW983090:LVX983090 MFS983090:MFT983090 MPO983090:MPP983090 MZK983090:MZL983090 NJG983090:NJH983090 NTC983090:NTD983090 OCY983090:OCZ983090 OMU983090:OMV983090 OWQ983090:OWR983090 PGM983090:PGN983090 PQI983090:PQJ983090 QAE983090:QAF983090 QKA983090:QKB983090 QTW983090:QTX983090 RDS983090:RDT983090 RNO983090:RNP983090 RXK983090:RXL983090 SHG983090:SHH983090 SRC983090:SRD983090 TAY983090:TAZ983090 TKU983090:TKV983090 TUQ983090:TUR983090 UEM983090:UEN983090 UOI983090:UOJ983090 UYE983090:UYF983090 VIA983090:VIB983090 VRW983090:VRX983090 WBS983090:WBT983090 WLO983090:WLP983090 WVK983090:WVL983090 C66:D66 IY66:IZ66 SU66:SV66 ACQ66:ACR66 AMM66:AMN66 AWI66:AWJ66 BGE66:BGF66 BQA66:BQB66 BZW66:BZX66 CJS66:CJT66 CTO66:CTP66 DDK66:DDL66 DNG66:DNH66 DXC66:DXD66 EGY66:EGZ66 EQU66:EQV66 FAQ66:FAR66 FKM66:FKN66 FUI66:FUJ66 GEE66:GEF66 GOA66:GOB66 GXW66:GXX66 HHS66:HHT66 HRO66:HRP66 IBK66:IBL66 ILG66:ILH66 IVC66:IVD66 JEY66:JEZ66 JOU66:JOV66 JYQ66:JYR66 KIM66:KIN66 KSI66:KSJ66 LCE66:LCF66 LMA66:LMB66 LVW66:LVX66 MFS66:MFT66 MPO66:MPP66 MZK66:MZL66 NJG66:NJH66 NTC66:NTD66 OCY66:OCZ66 OMU66:OMV66 OWQ66:OWR66 PGM66:PGN66 PQI66:PQJ66 QAE66:QAF66 QKA66:QKB66 QTW66:QTX66 RDS66:RDT66 RNO66:RNP66 RXK66:RXL66 SHG66:SHH66 SRC66:SRD66 TAY66:TAZ66 TKU66:TKV66 TUQ66:TUR66 UEM66:UEN66 UOI66:UOJ66 UYE66:UYF66 VIA66:VIB66 VRW66:VRX66 WBS66:WBT66 WLO66:WLP66 WVK66:WVL66 C65602:D65602 IY65602:IZ65602 SU65602:SV65602 ACQ65602:ACR65602 AMM65602:AMN65602 AWI65602:AWJ65602 BGE65602:BGF65602 BQA65602:BQB65602 BZW65602:BZX65602 CJS65602:CJT65602 CTO65602:CTP65602 DDK65602:DDL65602 DNG65602:DNH65602 DXC65602:DXD65602 EGY65602:EGZ65602 EQU65602:EQV65602 FAQ65602:FAR65602 FKM65602:FKN65602 FUI65602:FUJ65602 GEE65602:GEF65602 GOA65602:GOB65602 GXW65602:GXX65602 HHS65602:HHT65602 HRO65602:HRP65602 IBK65602:IBL65602 ILG65602:ILH65602 IVC65602:IVD65602 JEY65602:JEZ65602 JOU65602:JOV65602 JYQ65602:JYR65602 KIM65602:KIN65602 KSI65602:KSJ65602 LCE65602:LCF65602 LMA65602:LMB65602 LVW65602:LVX65602 MFS65602:MFT65602 MPO65602:MPP65602 MZK65602:MZL65602 NJG65602:NJH65602 NTC65602:NTD65602 OCY65602:OCZ65602 OMU65602:OMV65602 OWQ65602:OWR65602 PGM65602:PGN65602 PQI65602:PQJ65602 QAE65602:QAF65602 QKA65602:QKB65602 QTW65602:QTX65602 RDS65602:RDT65602 RNO65602:RNP65602 RXK65602:RXL65602 SHG65602:SHH65602 SRC65602:SRD65602 TAY65602:TAZ65602 TKU65602:TKV65602 TUQ65602:TUR65602 UEM65602:UEN65602 UOI65602:UOJ65602 UYE65602:UYF65602 VIA65602:VIB65602 VRW65602:VRX65602 WBS65602:WBT65602 WLO65602:WLP65602 WVK65602:WVL65602 C131138:D131138 IY131138:IZ131138 SU131138:SV131138 ACQ131138:ACR131138 AMM131138:AMN131138 AWI131138:AWJ131138 BGE131138:BGF131138 BQA131138:BQB131138 BZW131138:BZX131138 CJS131138:CJT131138 CTO131138:CTP131138 DDK131138:DDL131138 DNG131138:DNH131138 DXC131138:DXD131138 EGY131138:EGZ131138 EQU131138:EQV131138 FAQ131138:FAR131138 FKM131138:FKN131138 FUI131138:FUJ131138 GEE131138:GEF131138 GOA131138:GOB131138 GXW131138:GXX131138 HHS131138:HHT131138 HRO131138:HRP131138 IBK131138:IBL131138 ILG131138:ILH131138 IVC131138:IVD131138 JEY131138:JEZ131138 JOU131138:JOV131138 JYQ131138:JYR131138 KIM131138:KIN131138 KSI131138:KSJ131138 LCE131138:LCF131138 LMA131138:LMB131138 LVW131138:LVX131138 MFS131138:MFT131138 MPO131138:MPP131138 MZK131138:MZL131138 NJG131138:NJH131138 NTC131138:NTD131138 OCY131138:OCZ131138 OMU131138:OMV131138 OWQ131138:OWR131138 PGM131138:PGN131138 PQI131138:PQJ131138 QAE131138:QAF131138 QKA131138:QKB131138 QTW131138:QTX131138 RDS131138:RDT131138 RNO131138:RNP131138 RXK131138:RXL131138 SHG131138:SHH131138 SRC131138:SRD131138 TAY131138:TAZ131138 TKU131138:TKV131138 TUQ131138:TUR131138 UEM131138:UEN131138 UOI131138:UOJ131138 UYE131138:UYF131138 VIA131138:VIB131138 VRW131138:VRX131138 WBS131138:WBT131138 WLO131138:WLP131138 WVK131138:WVL131138 C196674:D196674 IY196674:IZ196674 SU196674:SV196674 ACQ196674:ACR196674 AMM196674:AMN196674 AWI196674:AWJ196674 BGE196674:BGF196674 BQA196674:BQB196674 BZW196674:BZX196674 CJS196674:CJT196674 CTO196674:CTP196674 DDK196674:DDL196674 DNG196674:DNH196674 DXC196674:DXD196674 EGY196674:EGZ196674 EQU196674:EQV196674 FAQ196674:FAR196674 FKM196674:FKN196674 FUI196674:FUJ196674 GEE196674:GEF196674 GOA196674:GOB196674 GXW196674:GXX196674 HHS196674:HHT196674 HRO196674:HRP196674 IBK196674:IBL196674 ILG196674:ILH196674 IVC196674:IVD196674 JEY196674:JEZ196674 JOU196674:JOV196674 JYQ196674:JYR196674 KIM196674:KIN196674 KSI196674:KSJ196674 LCE196674:LCF196674 LMA196674:LMB196674 LVW196674:LVX196674 MFS196674:MFT196674 MPO196674:MPP196674 MZK196674:MZL196674 NJG196674:NJH196674 NTC196674:NTD196674 OCY196674:OCZ196674 OMU196674:OMV196674 OWQ196674:OWR196674 PGM196674:PGN196674 PQI196674:PQJ196674 QAE196674:QAF196674 QKA196674:QKB196674 QTW196674:QTX196674 RDS196674:RDT196674 RNO196674:RNP196674 RXK196674:RXL196674 SHG196674:SHH196674 SRC196674:SRD196674 TAY196674:TAZ196674 TKU196674:TKV196674 TUQ196674:TUR196674 UEM196674:UEN196674 UOI196674:UOJ196674 UYE196674:UYF196674 VIA196674:VIB196674 VRW196674:VRX196674 WBS196674:WBT196674 WLO196674:WLP196674 WVK196674:WVL196674 C262210:D262210 IY262210:IZ262210 SU262210:SV262210 ACQ262210:ACR262210 AMM262210:AMN262210 AWI262210:AWJ262210 BGE262210:BGF262210 BQA262210:BQB262210 BZW262210:BZX262210 CJS262210:CJT262210 CTO262210:CTP262210 DDK262210:DDL262210 DNG262210:DNH262210 DXC262210:DXD262210 EGY262210:EGZ262210 EQU262210:EQV262210 FAQ262210:FAR262210 FKM262210:FKN262210 FUI262210:FUJ262210 GEE262210:GEF262210 GOA262210:GOB262210 GXW262210:GXX262210 HHS262210:HHT262210 HRO262210:HRP262210 IBK262210:IBL262210 ILG262210:ILH262210 IVC262210:IVD262210 JEY262210:JEZ262210 JOU262210:JOV262210 JYQ262210:JYR262210 KIM262210:KIN262210 KSI262210:KSJ262210 LCE262210:LCF262210 LMA262210:LMB262210 LVW262210:LVX262210 MFS262210:MFT262210 MPO262210:MPP262210 MZK262210:MZL262210 NJG262210:NJH262210 NTC262210:NTD262210 OCY262210:OCZ262210 OMU262210:OMV262210 OWQ262210:OWR262210 PGM262210:PGN262210 PQI262210:PQJ262210 QAE262210:QAF262210 QKA262210:QKB262210 QTW262210:QTX262210 RDS262210:RDT262210 RNO262210:RNP262210 RXK262210:RXL262210 SHG262210:SHH262210 SRC262210:SRD262210 TAY262210:TAZ262210 TKU262210:TKV262210 TUQ262210:TUR262210 UEM262210:UEN262210 UOI262210:UOJ262210 UYE262210:UYF262210 VIA262210:VIB262210 VRW262210:VRX262210 WBS262210:WBT262210 WLO262210:WLP262210 WVK262210:WVL262210 C327746:D327746 IY327746:IZ327746 SU327746:SV327746 ACQ327746:ACR327746 AMM327746:AMN327746 AWI327746:AWJ327746 BGE327746:BGF327746 BQA327746:BQB327746 BZW327746:BZX327746 CJS327746:CJT327746 CTO327746:CTP327746 DDK327746:DDL327746 DNG327746:DNH327746 DXC327746:DXD327746 EGY327746:EGZ327746 EQU327746:EQV327746 FAQ327746:FAR327746 FKM327746:FKN327746 FUI327746:FUJ327746 GEE327746:GEF327746 GOA327746:GOB327746 GXW327746:GXX327746 HHS327746:HHT327746 HRO327746:HRP327746 IBK327746:IBL327746 ILG327746:ILH327746 IVC327746:IVD327746 JEY327746:JEZ327746 JOU327746:JOV327746 JYQ327746:JYR327746 KIM327746:KIN327746 KSI327746:KSJ327746 LCE327746:LCF327746 LMA327746:LMB327746 LVW327746:LVX327746 MFS327746:MFT327746 MPO327746:MPP327746 MZK327746:MZL327746 NJG327746:NJH327746 NTC327746:NTD327746 OCY327746:OCZ327746 OMU327746:OMV327746 OWQ327746:OWR327746 PGM327746:PGN327746 PQI327746:PQJ327746 QAE327746:QAF327746 QKA327746:QKB327746 QTW327746:QTX327746 RDS327746:RDT327746 RNO327746:RNP327746 RXK327746:RXL327746 SHG327746:SHH327746 SRC327746:SRD327746 TAY327746:TAZ327746 TKU327746:TKV327746 TUQ327746:TUR327746 UEM327746:UEN327746 UOI327746:UOJ327746 UYE327746:UYF327746 VIA327746:VIB327746 VRW327746:VRX327746 WBS327746:WBT327746 WLO327746:WLP327746 WVK327746:WVL327746 C393282:D393282 IY393282:IZ393282 SU393282:SV393282 ACQ393282:ACR393282 AMM393282:AMN393282 AWI393282:AWJ393282 BGE393282:BGF393282 BQA393282:BQB393282 BZW393282:BZX393282 CJS393282:CJT393282 CTO393282:CTP393282 DDK393282:DDL393282 DNG393282:DNH393282 DXC393282:DXD393282 EGY393282:EGZ393282 EQU393282:EQV393282 FAQ393282:FAR393282 FKM393282:FKN393282 FUI393282:FUJ393282 GEE393282:GEF393282 GOA393282:GOB393282 GXW393282:GXX393282 HHS393282:HHT393282 HRO393282:HRP393282 IBK393282:IBL393282 ILG393282:ILH393282 IVC393282:IVD393282 JEY393282:JEZ393282 JOU393282:JOV393282 JYQ393282:JYR393282 KIM393282:KIN393282 KSI393282:KSJ393282 LCE393282:LCF393282 LMA393282:LMB393282 LVW393282:LVX393282 MFS393282:MFT393282 MPO393282:MPP393282 MZK393282:MZL393282 NJG393282:NJH393282 NTC393282:NTD393282 OCY393282:OCZ393282 OMU393282:OMV393282 OWQ393282:OWR393282 PGM393282:PGN393282 PQI393282:PQJ393282 QAE393282:QAF393282 QKA393282:QKB393282 QTW393282:QTX393282 RDS393282:RDT393282 RNO393282:RNP393282 RXK393282:RXL393282 SHG393282:SHH393282 SRC393282:SRD393282 TAY393282:TAZ393282 TKU393282:TKV393282 TUQ393282:TUR393282 UEM393282:UEN393282 UOI393282:UOJ393282 UYE393282:UYF393282 VIA393282:VIB393282 VRW393282:VRX393282 WBS393282:WBT393282 WLO393282:WLP393282 WVK393282:WVL393282 C458818:D458818 IY458818:IZ458818 SU458818:SV458818 ACQ458818:ACR458818 AMM458818:AMN458818 AWI458818:AWJ458818 BGE458818:BGF458818 BQA458818:BQB458818 BZW458818:BZX458818 CJS458818:CJT458818 CTO458818:CTP458818 DDK458818:DDL458818 DNG458818:DNH458818 DXC458818:DXD458818 EGY458818:EGZ458818 EQU458818:EQV458818 FAQ458818:FAR458818 FKM458818:FKN458818 FUI458818:FUJ458818 GEE458818:GEF458818 GOA458818:GOB458818 GXW458818:GXX458818 HHS458818:HHT458818 HRO458818:HRP458818 IBK458818:IBL458818 ILG458818:ILH458818 IVC458818:IVD458818 JEY458818:JEZ458818 JOU458818:JOV458818 JYQ458818:JYR458818 KIM458818:KIN458818 KSI458818:KSJ458818 LCE458818:LCF458818 LMA458818:LMB458818 LVW458818:LVX458818 MFS458818:MFT458818 MPO458818:MPP458818 MZK458818:MZL458818 NJG458818:NJH458818 NTC458818:NTD458818 OCY458818:OCZ458818 OMU458818:OMV458818 OWQ458818:OWR458818 PGM458818:PGN458818 PQI458818:PQJ458818 QAE458818:QAF458818 QKA458818:QKB458818 QTW458818:QTX458818 RDS458818:RDT458818 RNO458818:RNP458818 RXK458818:RXL458818 SHG458818:SHH458818 SRC458818:SRD458818 TAY458818:TAZ458818 TKU458818:TKV458818 TUQ458818:TUR458818 UEM458818:UEN458818 UOI458818:UOJ458818 UYE458818:UYF458818 VIA458818:VIB458818 VRW458818:VRX458818 WBS458818:WBT458818 WLO458818:WLP458818 WVK458818:WVL458818 C524354:D524354 IY524354:IZ524354 SU524354:SV524354 ACQ524354:ACR524354 AMM524354:AMN524354 AWI524354:AWJ524354 BGE524354:BGF524354 BQA524354:BQB524354 BZW524354:BZX524354 CJS524354:CJT524354 CTO524354:CTP524354 DDK524354:DDL524354 DNG524354:DNH524354 DXC524354:DXD524354 EGY524354:EGZ524354 EQU524354:EQV524354 FAQ524354:FAR524354 FKM524354:FKN524354 FUI524354:FUJ524354 GEE524354:GEF524354 GOA524354:GOB524354 GXW524354:GXX524354 HHS524354:HHT524354 HRO524354:HRP524354 IBK524354:IBL524354 ILG524354:ILH524354 IVC524354:IVD524354 JEY524354:JEZ524354 JOU524354:JOV524354 JYQ524354:JYR524354 KIM524354:KIN524354 KSI524354:KSJ524354 LCE524354:LCF524354 LMA524354:LMB524354 LVW524354:LVX524354 MFS524354:MFT524354 MPO524354:MPP524354 MZK524354:MZL524354 NJG524354:NJH524354 NTC524354:NTD524354 OCY524354:OCZ524354 OMU524354:OMV524354 OWQ524354:OWR524354 PGM524354:PGN524354 PQI524354:PQJ524354 QAE524354:QAF524354 QKA524354:QKB524354 QTW524354:QTX524354 RDS524354:RDT524354 RNO524354:RNP524354 RXK524354:RXL524354 SHG524354:SHH524354 SRC524354:SRD524354 TAY524354:TAZ524354 TKU524354:TKV524354 TUQ524354:TUR524354 UEM524354:UEN524354 UOI524354:UOJ524354 UYE524354:UYF524354 VIA524354:VIB524354 VRW524354:VRX524354 WBS524354:WBT524354 WLO524354:WLP524354 WVK524354:WVL524354 C589890:D589890 IY589890:IZ589890 SU589890:SV589890 ACQ589890:ACR589890 AMM589890:AMN589890 AWI589890:AWJ589890 BGE589890:BGF589890 BQA589890:BQB589890 BZW589890:BZX589890 CJS589890:CJT589890 CTO589890:CTP589890 DDK589890:DDL589890 DNG589890:DNH589890 DXC589890:DXD589890 EGY589890:EGZ589890 EQU589890:EQV589890 FAQ589890:FAR589890 FKM589890:FKN589890 FUI589890:FUJ589890 GEE589890:GEF589890 GOA589890:GOB589890 GXW589890:GXX589890 HHS589890:HHT589890 HRO589890:HRP589890 IBK589890:IBL589890 ILG589890:ILH589890 IVC589890:IVD589890 JEY589890:JEZ589890 JOU589890:JOV589890 JYQ589890:JYR589890 KIM589890:KIN589890 KSI589890:KSJ589890 LCE589890:LCF589890 LMA589890:LMB589890 LVW589890:LVX589890 MFS589890:MFT589890 MPO589890:MPP589890 MZK589890:MZL589890 NJG589890:NJH589890 NTC589890:NTD589890 OCY589890:OCZ589890 OMU589890:OMV589890 OWQ589890:OWR589890 PGM589890:PGN589890 PQI589890:PQJ589890 QAE589890:QAF589890 QKA589890:QKB589890 QTW589890:QTX589890 RDS589890:RDT589890 RNO589890:RNP589890 RXK589890:RXL589890 SHG589890:SHH589890 SRC589890:SRD589890 TAY589890:TAZ589890 TKU589890:TKV589890 TUQ589890:TUR589890 UEM589890:UEN589890 UOI589890:UOJ589890 UYE589890:UYF589890 VIA589890:VIB589890 VRW589890:VRX589890 WBS589890:WBT589890 WLO589890:WLP589890 WVK589890:WVL589890 C655426:D655426 IY655426:IZ655426 SU655426:SV655426 ACQ655426:ACR655426 AMM655426:AMN655426 AWI655426:AWJ655426 BGE655426:BGF655426 BQA655426:BQB655426 BZW655426:BZX655426 CJS655426:CJT655426 CTO655426:CTP655426 DDK655426:DDL655426 DNG655426:DNH655426 DXC655426:DXD655426 EGY655426:EGZ655426 EQU655426:EQV655426 FAQ655426:FAR655426 FKM655426:FKN655426 FUI655426:FUJ655426 GEE655426:GEF655426 GOA655426:GOB655426 GXW655426:GXX655426 HHS655426:HHT655426 HRO655426:HRP655426 IBK655426:IBL655426 ILG655426:ILH655426 IVC655426:IVD655426 JEY655426:JEZ655426 JOU655426:JOV655426 JYQ655426:JYR655426 KIM655426:KIN655426 KSI655426:KSJ655426 LCE655426:LCF655426 LMA655426:LMB655426 LVW655426:LVX655426 MFS655426:MFT655426 MPO655426:MPP655426 MZK655426:MZL655426 NJG655426:NJH655426 NTC655426:NTD655426 OCY655426:OCZ655426 OMU655426:OMV655426 OWQ655426:OWR655426 PGM655426:PGN655426 PQI655426:PQJ655426 QAE655426:QAF655426 QKA655426:QKB655426 QTW655426:QTX655426 RDS655426:RDT655426 RNO655426:RNP655426 RXK655426:RXL655426 SHG655426:SHH655426 SRC655426:SRD655426 TAY655426:TAZ655426 TKU655426:TKV655426 TUQ655426:TUR655426 UEM655426:UEN655426 UOI655426:UOJ655426 UYE655426:UYF655426 VIA655426:VIB655426 VRW655426:VRX655426 WBS655426:WBT655426 WLO655426:WLP655426 WVK655426:WVL655426 C720962:D720962 IY720962:IZ720962 SU720962:SV720962 ACQ720962:ACR720962 AMM720962:AMN720962 AWI720962:AWJ720962 BGE720962:BGF720962 BQA720962:BQB720962 BZW720962:BZX720962 CJS720962:CJT720962 CTO720962:CTP720962 DDK720962:DDL720962 DNG720962:DNH720962 DXC720962:DXD720962 EGY720962:EGZ720962 EQU720962:EQV720962 FAQ720962:FAR720962 FKM720962:FKN720962 FUI720962:FUJ720962 GEE720962:GEF720962 GOA720962:GOB720962 GXW720962:GXX720962 HHS720962:HHT720962 HRO720962:HRP720962 IBK720962:IBL720962 ILG720962:ILH720962 IVC720962:IVD720962 JEY720962:JEZ720962 JOU720962:JOV720962 JYQ720962:JYR720962 KIM720962:KIN720962 KSI720962:KSJ720962 LCE720962:LCF720962 LMA720962:LMB720962 LVW720962:LVX720962 MFS720962:MFT720962 MPO720962:MPP720962 MZK720962:MZL720962 NJG720962:NJH720962 NTC720962:NTD720962 OCY720962:OCZ720962 OMU720962:OMV720962 OWQ720962:OWR720962 PGM720962:PGN720962 PQI720962:PQJ720962 QAE720962:QAF720962 QKA720962:QKB720962 QTW720962:QTX720962 RDS720962:RDT720962 RNO720962:RNP720962 RXK720962:RXL720962 SHG720962:SHH720962 SRC720962:SRD720962 TAY720962:TAZ720962 TKU720962:TKV720962 TUQ720962:TUR720962 UEM720962:UEN720962 UOI720962:UOJ720962 UYE720962:UYF720962 VIA720962:VIB720962 VRW720962:VRX720962 WBS720962:WBT720962 WLO720962:WLP720962 WVK720962:WVL720962 C786498:D786498 IY786498:IZ786498 SU786498:SV786498 ACQ786498:ACR786498 AMM786498:AMN786498 AWI786498:AWJ786498 BGE786498:BGF786498 BQA786498:BQB786498 BZW786498:BZX786498 CJS786498:CJT786498 CTO786498:CTP786498 DDK786498:DDL786498 DNG786498:DNH786498 DXC786498:DXD786498 EGY786498:EGZ786498 EQU786498:EQV786498 FAQ786498:FAR786498 FKM786498:FKN786498 FUI786498:FUJ786498 GEE786498:GEF786498 GOA786498:GOB786498 GXW786498:GXX786498 HHS786498:HHT786498 HRO786498:HRP786498 IBK786498:IBL786498 ILG786498:ILH786498 IVC786498:IVD786498 JEY786498:JEZ786498 JOU786498:JOV786498 JYQ786498:JYR786498 KIM786498:KIN786498 KSI786498:KSJ786498 LCE786498:LCF786498 LMA786498:LMB786498 LVW786498:LVX786498 MFS786498:MFT786498 MPO786498:MPP786498 MZK786498:MZL786498 NJG786498:NJH786498 NTC786498:NTD786498 OCY786498:OCZ786498 OMU786498:OMV786498 OWQ786498:OWR786498 PGM786498:PGN786498 PQI786498:PQJ786498 QAE786498:QAF786498 QKA786498:QKB786498 QTW786498:QTX786498 RDS786498:RDT786498 RNO786498:RNP786498 RXK786498:RXL786498 SHG786498:SHH786498 SRC786498:SRD786498 TAY786498:TAZ786498 TKU786498:TKV786498 TUQ786498:TUR786498 UEM786498:UEN786498 UOI786498:UOJ786498 UYE786498:UYF786498 VIA786498:VIB786498 VRW786498:VRX786498 WBS786498:WBT786498 WLO786498:WLP786498 WVK786498:WVL786498 C852034:D852034 IY852034:IZ852034 SU852034:SV852034 ACQ852034:ACR852034 AMM852034:AMN852034 AWI852034:AWJ852034 BGE852034:BGF852034 BQA852034:BQB852034 BZW852034:BZX852034 CJS852034:CJT852034 CTO852034:CTP852034 DDK852034:DDL852034 DNG852034:DNH852034 DXC852034:DXD852034 EGY852034:EGZ852034 EQU852034:EQV852034 FAQ852034:FAR852034 FKM852034:FKN852034 FUI852034:FUJ852034 GEE852034:GEF852034 GOA852034:GOB852034 GXW852034:GXX852034 HHS852034:HHT852034 HRO852034:HRP852034 IBK852034:IBL852034 ILG852034:ILH852034 IVC852034:IVD852034 JEY852034:JEZ852034 JOU852034:JOV852034 JYQ852034:JYR852034 KIM852034:KIN852034 KSI852034:KSJ852034 LCE852034:LCF852034 LMA852034:LMB852034 LVW852034:LVX852034 MFS852034:MFT852034 MPO852034:MPP852034 MZK852034:MZL852034 NJG852034:NJH852034 NTC852034:NTD852034 OCY852034:OCZ852034 OMU852034:OMV852034 OWQ852034:OWR852034 PGM852034:PGN852034 PQI852034:PQJ852034 QAE852034:QAF852034 QKA852034:QKB852034 QTW852034:QTX852034 RDS852034:RDT852034 RNO852034:RNP852034 RXK852034:RXL852034 SHG852034:SHH852034 SRC852034:SRD852034 TAY852034:TAZ852034 TKU852034:TKV852034 TUQ852034:TUR852034 UEM852034:UEN852034 UOI852034:UOJ852034 UYE852034:UYF852034 VIA852034:VIB852034 VRW852034:VRX852034 WBS852034:WBT852034 WLO852034:WLP852034 WVK852034:WVL852034 C917570:D917570 IY917570:IZ917570 SU917570:SV917570 ACQ917570:ACR917570 AMM917570:AMN917570 AWI917570:AWJ917570 BGE917570:BGF917570 BQA917570:BQB917570 BZW917570:BZX917570 CJS917570:CJT917570 CTO917570:CTP917570 DDK917570:DDL917570 DNG917570:DNH917570 DXC917570:DXD917570 EGY917570:EGZ917570 EQU917570:EQV917570 FAQ917570:FAR917570 FKM917570:FKN917570 FUI917570:FUJ917570 GEE917570:GEF917570 GOA917570:GOB917570 GXW917570:GXX917570 HHS917570:HHT917570 HRO917570:HRP917570 IBK917570:IBL917570 ILG917570:ILH917570 IVC917570:IVD917570 JEY917570:JEZ917570 JOU917570:JOV917570 JYQ917570:JYR917570 KIM917570:KIN917570 KSI917570:KSJ917570 LCE917570:LCF917570 LMA917570:LMB917570 LVW917570:LVX917570 MFS917570:MFT917570 MPO917570:MPP917570 MZK917570:MZL917570 NJG917570:NJH917570 NTC917570:NTD917570 OCY917570:OCZ917570 OMU917570:OMV917570 OWQ917570:OWR917570 PGM917570:PGN917570 PQI917570:PQJ917570 QAE917570:QAF917570 QKA917570:QKB917570 QTW917570:QTX917570 RDS917570:RDT917570 RNO917570:RNP917570 RXK917570:RXL917570 SHG917570:SHH917570 SRC917570:SRD917570 TAY917570:TAZ917570 TKU917570:TKV917570 TUQ917570:TUR917570 UEM917570:UEN917570 UOI917570:UOJ917570 UYE917570:UYF917570 VIA917570:VIB917570 VRW917570:VRX917570 WBS917570:WBT917570 WLO917570:WLP917570 WVK917570:WVL917570 C983106:D983106 IY983106:IZ983106 SU983106:SV983106 ACQ983106:ACR983106 AMM983106:AMN983106 AWI983106:AWJ983106 BGE983106:BGF983106 BQA983106:BQB983106 BZW983106:BZX983106 CJS983106:CJT983106 CTO983106:CTP983106 DDK983106:DDL983106 DNG983106:DNH983106 DXC983106:DXD983106 EGY983106:EGZ983106 EQU983106:EQV983106 FAQ983106:FAR983106 FKM983106:FKN983106 FUI983106:FUJ983106 GEE983106:GEF983106 GOA983106:GOB983106 GXW983106:GXX983106 HHS983106:HHT983106 HRO983106:HRP983106 IBK983106:IBL983106 ILG983106:ILH983106 IVC983106:IVD983106 JEY983106:JEZ983106 JOU983106:JOV983106 JYQ983106:JYR983106 KIM983106:KIN983106 KSI983106:KSJ983106 LCE983106:LCF983106 LMA983106:LMB983106 LVW983106:LVX983106 MFS983106:MFT983106 MPO983106:MPP983106 MZK983106:MZL983106 NJG983106:NJH983106 NTC983106:NTD983106 OCY983106:OCZ983106 OMU983106:OMV983106 OWQ983106:OWR983106 PGM983106:PGN983106 PQI983106:PQJ983106 QAE983106:QAF983106 QKA983106:QKB983106 QTW983106:QTX983106 RDS983106:RDT983106 RNO983106:RNP983106 RXK983106:RXL983106 SHG983106:SHH983106 SRC983106:SRD983106 TAY983106:TAZ983106 TKU983106:TKV983106 TUQ983106:TUR983106 UEM983106:UEN983106 UOI983106:UOJ983106 UYE983106:UYF983106 VIA983106:VIB983106 VRW983106:VRX983106 WBS983106:WBT983106 WLO983106:WLP983106 WVK983106:WVL983106 C82:D82 IY82:IZ82 SU82:SV82 ACQ82:ACR82 AMM82:AMN82 AWI82:AWJ82 BGE82:BGF82 BQA82:BQB82 BZW82:BZX82 CJS82:CJT82 CTO82:CTP82 DDK82:DDL82 DNG82:DNH82 DXC82:DXD82 EGY82:EGZ82 EQU82:EQV82 FAQ82:FAR82 FKM82:FKN82 FUI82:FUJ82 GEE82:GEF82 GOA82:GOB82 GXW82:GXX82 HHS82:HHT82 HRO82:HRP82 IBK82:IBL82 ILG82:ILH82 IVC82:IVD82 JEY82:JEZ82 JOU82:JOV82 JYQ82:JYR82 KIM82:KIN82 KSI82:KSJ82 LCE82:LCF82 LMA82:LMB82 LVW82:LVX82 MFS82:MFT82 MPO82:MPP82 MZK82:MZL82 NJG82:NJH82 NTC82:NTD82 OCY82:OCZ82 OMU82:OMV82 OWQ82:OWR82 PGM82:PGN82 PQI82:PQJ82 QAE82:QAF82 QKA82:QKB82 QTW82:QTX82 RDS82:RDT82 RNO82:RNP82 RXK82:RXL82 SHG82:SHH82 SRC82:SRD82 TAY82:TAZ82 TKU82:TKV82 TUQ82:TUR82 UEM82:UEN82 UOI82:UOJ82 UYE82:UYF82 VIA82:VIB82 VRW82:VRX82 WBS82:WBT82 WLO82:WLP82 WVK82:WVL82 C65618:D65618 IY65618:IZ65618 SU65618:SV65618 ACQ65618:ACR65618 AMM65618:AMN65618 AWI65618:AWJ65618 BGE65618:BGF65618 BQA65618:BQB65618 BZW65618:BZX65618 CJS65618:CJT65618 CTO65618:CTP65618 DDK65618:DDL65618 DNG65618:DNH65618 DXC65618:DXD65618 EGY65618:EGZ65618 EQU65618:EQV65618 FAQ65618:FAR65618 FKM65618:FKN65618 FUI65618:FUJ65618 GEE65618:GEF65618 GOA65618:GOB65618 GXW65618:GXX65618 HHS65618:HHT65618 HRO65618:HRP65618 IBK65618:IBL65618 ILG65618:ILH65618 IVC65618:IVD65618 JEY65618:JEZ65618 JOU65618:JOV65618 JYQ65618:JYR65618 KIM65618:KIN65618 KSI65618:KSJ65618 LCE65618:LCF65618 LMA65618:LMB65618 LVW65618:LVX65618 MFS65618:MFT65618 MPO65618:MPP65618 MZK65618:MZL65618 NJG65618:NJH65618 NTC65618:NTD65618 OCY65618:OCZ65618 OMU65618:OMV65618 OWQ65618:OWR65618 PGM65618:PGN65618 PQI65618:PQJ65618 QAE65618:QAF65618 QKA65618:QKB65618 QTW65618:QTX65618 RDS65618:RDT65618 RNO65618:RNP65618 RXK65618:RXL65618 SHG65618:SHH65618 SRC65618:SRD65618 TAY65618:TAZ65618 TKU65618:TKV65618 TUQ65618:TUR65618 UEM65618:UEN65618 UOI65618:UOJ65618 UYE65618:UYF65618 VIA65618:VIB65618 VRW65618:VRX65618 WBS65618:WBT65618 WLO65618:WLP65618 WVK65618:WVL65618 C131154:D131154 IY131154:IZ131154 SU131154:SV131154 ACQ131154:ACR131154 AMM131154:AMN131154 AWI131154:AWJ131154 BGE131154:BGF131154 BQA131154:BQB131154 BZW131154:BZX131154 CJS131154:CJT131154 CTO131154:CTP131154 DDK131154:DDL131154 DNG131154:DNH131154 DXC131154:DXD131154 EGY131154:EGZ131154 EQU131154:EQV131154 FAQ131154:FAR131154 FKM131154:FKN131154 FUI131154:FUJ131154 GEE131154:GEF131154 GOA131154:GOB131154 GXW131154:GXX131154 HHS131154:HHT131154 HRO131154:HRP131154 IBK131154:IBL131154 ILG131154:ILH131154 IVC131154:IVD131154 JEY131154:JEZ131154 JOU131154:JOV131154 JYQ131154:JYR131154 KIM131154:KIN131154 KSI131154:KSJ131154 LCE131154:LCF131154 LMA131154:LMB131154 LVW131154:LVX131154 MFS131154:MFT131154 MPO131154:MPP131154 MZK131154:MZL131154 NJG131154:NJH131154 NTC131154:NTD131154 OCY131154:OCZ131154 OMU131154:OMV131154 OWQ131154:OWR131154 PGM131154:PGN131154 PQI131154:PQJ131154 QAE131154:QAF131154 QKA131154:QKB131154 QTW131154:QTX131154 RDS131154:RDT131154 RNO131154:RNP131154 RXK131154:RXL131154 SHG131154:SHH131154 SRC131154:SRD131154 TAY131154:TAZ131154 TKU131154:TKV131154 TUQ131154:TUR131154 UEM131154:UEN131154 UOI131154:UOJ131154 UYE131154:UYF131154 VIA131154:VIB131154 VRW131154:VRX131154 WBS131154:WBT131154 WLO131154:WLP131154 WVK131154:WVL131154 C196690:D196690 IY196690:IZ196690 SU196690:SV196690 ACQ196690:ACR196690 AMM196690:AMN196690 AWI196690:AWJ196690 BGE196690:BGF196690 BQA196690:BQB196690 BZW196690:BZX196690 CJS196690:CJT196690 CTO196690:CTP196690 DDK196690:DDL196690 DNG196690:DNH196690 DXC196690:DXD196690 EGY196690:EGZ196690 EQU196690:EQV196690 FAQ196690:FAR196690 FKM196690:FKN196690 FUI196690:FUJ196690 GEE196690:GEF196690 GOA196690:GOB196690 GXW196690:GXX196690 HHS196690:HHT196690 HRO196690:HRP196690 IBK196690:IBL196690 ILG196690:ILH196690 IVC196690:IVD196690 JEY196690:JEZ196690 JOU196690:JOV196690 JYQ196690:JYR196690 KIM196690:KIN196690 KSI196690:KSJ196690 LCE196690:LCF196690 LMA196690:LMB196690 LVW196690:LVX196690 MFS196690:MFT196690 MPO196690:MPP196690 MZK196690:MZL196690 NJG196690:NJH196690 NTC196690:NTD196690 OCY196690:OCZ196690 OMU196690:OMV196690 OWQ196690:OWR196690 PGM196690:PGN196690 PQI196690:PQJ196690 QAE196690:QAF196690 QKA196690:QKB196690 QTW196690:QTX196690 RDS196690:RDT196690 RNO196690:RNP196690 RXK196690:RXL196690 SHG196690:SHH196690 SRC196690:SRD196690 TAY196690:TAZ196690 TKU196690:TKV196690 TUQ196690:TUR196690 UEM196690:UEN196690 UOI196690:UOJ196690 UYE196690:UYF196690 VIA196690:VIB196690 VRW196690:VRX196690 WBS196690:WBT196690 WLO196690:WLP196690 WVK196690:WVL196690 C262226:D262226 IY262226:IZ262226 SU262226:SV262226 ACQ262226:ACR262226 AMM262226:AMN262226 AWI262226:AWJ262226 BGE262226:BGF262226 BQA262226:BQB262226 BZW262226:BZX262226 CJS262226:CJT262226 CTO262226:CTP262226 DDK262226:DDL262226 DNG262226:DNH262226 DXC262226:DXD262226 EGY262226:EGZ262226 EQU262226:EQV262226 FAQ262226:FAR262226 FKM262226:FKN262226 FUI262226:FUJ262226 GEE262226:GEF262226 GOA262226:GOB262226 GXW262226:GXX262226 HHS262226:HHT262226 HRO262226:HRP262226 IBK262226:IBL262226 ILG262226:ILH262226 IVC262226:IVD262226 JEY262226:JEZ262226 JOU262226:JOV262226 JYQ262226:JYR262226 KIM262226:KIN262226 KSI262226:KSJ262226 LCE262226:LCF262226 LMA262226:LMB262226 LVW262226:LVX262226 MFS262226:MFT262226 MPO262226:MPP262226 MZK262226:MZL262226 NJG262226:NJH262226 NTC262226:NTD262226 OCY262226:OCZ262226 OMU262226:OMV262226 OWQ262226:OWR262226 PGM262226:PGN262226 PQI262226:PQJ262226 QAE262226:QAF262226 QKA262226:QKB262226 QTW262226:QTX262226 RDS262226:RDT262226 RNO262226:RNP262226 RXK262226:RXL262226 SHG262226:SHH262226 SRC262226:SRD262226 TAY262226:TAZ262226 TKU262226:TKV262226 TUQ262226:TUR262226 UEM262226:UEN262226 UOI262226:UOJ262226 UYE262226:UYF262226 VIA262226:VIB262226 VRW262226:VRX262226 WBS262226:WBT262226 WLO262226:WLP262226 WVK262226:WVL262226 C327762:D327762 IY327762:IZ327762 SU327762:SV327762 ACQ327762:ACR327762 AMM327762:AMN327762 AWI327762:AWJ327762 BGE327762:BGF327762 BQA327762:BQB327762 BZW327762:BZX327762 CJS327762:CJT327762 CTO327762:CTP327762 DDK327762:DDL327762 DNG327762:DNH327762 DXC327762:DXD327762 EGY327762:EGZ327762 EQU327762:EQV327762 FAQ327762:FAR327762 FKM327762:FKN327762 FUI327762:FUJ327762 GEE327762:GEF327762 GOA327762:GOB327762 GXW327762:GXX327762 HHS327762:HHT327762 HRO327762:HRP327762 IBK327762:IBL327762 ILG327762:ILH327762 IVC327762:IVD327762 JEY327762:JEZ327762 JOU327762:JOV327762 JYQ327762:JYR327762 KIM327762:KIN327762 KSI327762:KSJ327762 LCE327762:LCF327762 LMA327762:LMB327762 LVW327762:LVX327762 MFS327762:MFT327762 MPO327762:MPP327762 MZK327762:MZL327762 NJG327762:NJH327762 NTC327762:NTD327762 OCY327762:OCZ327762 OMU327762:OMV327762 OWQ327762:OWR327762 PGM327762:PGN327762 PQI327762:PQJ327762 QAE327762:QAF327762 QKA327762:QKB327762 QTW327762:QTX327762 RDS327762:RDT327762 RNO327762:RNP327762 RXK327762:RXL327762 SHG327762:SHH327762 SRC327762:SRD327762 TAY327762:TAZ327762 TKU327762:TKV327762 TUQ327762:TUR327762 UEM327762:UEN327762 UOI327762:UOJ327762 UYE327762:UYF327762 VIA327762:VIB327762 VRW327762:VRX327762 WBS327762:WBT327762 WLO327762:WLP327762 WVK327762:WVL327762 C393298:D393298 IY393298:IZ393298 SU393298:SV393298 ACQ393298:ACR393298 AMM393298:AMN393298 AWI393298:AWJ393298 BGE393298:BGF393298 BQA393298:BQB393298 BZW393298:BZX393298 CJS393298:CJT393298 CTO393298:CTP393298 DDK393298:DDL393298 DNG393298:DNH393298 DXC393298:DXD393298 EGY393298:EGZ393298 EQU393298:EQV393298 FAQ393298:FAR393298 FKM393298:FKN393298 FUI393298:FUJ393298 GEE393298:GEF393298 GOA393298:GOB393298 GXW393298:GXX393298 HHS393298:HHT393298 HRO393298:HRP393298 IBK393298:IBL393298 ILG393298:ILH393298 IVC393298:IVD393298 JEY393298:JEZ393298 JOU393298:JOV393298 JYQ393298:JYR393298 KIM393298:KIN393298 KSI393298:KSJ393298 LCE393298:LCF393298 LMA393298:LMB393298 LVW393298:LVX393298 MFS393298:MFT393298 MPO393298:MPP393298 MZK393298:MZL393298 NJG393298:NJH393298 NTC393298:NTD393298 OCY393298:OCZ393298 OMU393298:OMV393298 OWQ393298:OWR393298 PGM393298:PGN393298 PQI393298:PQJ393298 QAE393298:QAF393298 QKA393298:QKB393298 QTW393298:QTX393298 RDS393298:RDT393298 RNO393298:RNP393298 RXK393298:RXL393298 SHG393298:SHH393298 SRC393298:SRD393298 TAY393298:TAZ393298 TKU393298:TKV393298 TUQ393298:TUR393298 UEM393298:UEN393298 UOI393298:UOJ393298 UYE393298:UYF393298 VIA393298:VIB393298 VRW393298:VRX393298 WBS393298:WBT393298 WLO393298:WLP393298 WVK393298:WVL393298 C458834:D458834 IY458834:IZ458834 SU458834:SV458834 ACQ458834:ACR458834 AMM458834:AMN458834 AWI458834:AWJ458834 BGE458834:BGF458834 BQA458834:BQB458834 BZW458834:BZX458834 CJS458834:CJT458834 CTO458834:CTP458834 DDK458834:DDL458834 DNG458834:DNH458834 DXC458834:DXD458834 EGY458834:EGZ458834 EQU458834:EQV458834 FAQ458834:FAR458834 FKM458834:FKN458834 FUI458834:FUJ458834 GEE458834:GEF458834 GOA458834:GOB458834 GXW458834:GXX458834 HHS458834:HHT458834 HRO458834:HRP458834 IBK458834:IBL458834 ILG458834:ILH458834 IVC458834:IVD458834 JEY458834:JEZ458834 JOU458834:JOV458834 JYQ458834:JYR458834 KIM458834:KIN458834 KSI458834:KSJ458834 LCE458834:LCF458834 LMA458834:LMB458834 LVW458834:LVX458834 MFS458834:MFT458834 MPO458834:MPP458834 MZK458834:MZL458834 NJG458834:NJH458834 NTC458834:NTD458834 OCY458834:OCZ458834 OMU458834:OMV458834 OWQ458834:OWR458834 PGM458834:PGN458834 PQI458834:PQJ458834 QAE458834:QAF458834 QKA458834:QKB458834 QTW458834:QTX458834 RDS458834:RDT458834 RNO458834:RNP458834 RXK458834:RXL458834 SHG458834:SHH458834 SRC458834:SRD458834 TAY458834:TAZ458834 TKU458834:TKV458834 TUQ458834:TUR458834 UEM458834:UEN458834 UOI458834:UOJ458834 UYE458834:UYF458834 VIA458834:VIB458834 VRW458834:VRX458834 WBS458834:WBT458834 WLO458834:WLP458834 WVK458834:WVL458834 C524370:D524370 IY524370:IZ524370 SU524370:SV524370 ACQ524370:ACR524370 AMM524370:AMN524370 AWI524370:AWJ524370 BGE524370:BGF524370 BQA524370:BQB524370 BZW524370:BZX524370 CJS524370:CJT524370 CTO524370:CTP524370 DDK524370:DDL524370 DNG524370:DNH524370 DXC524370:DXD524370 EGY524370:EGZ524370 EQU524370:EQV524370 FAQ524370:FAR524370 FKM524370:FKN524370 FUI524370:FUJ524370 GEE524370:GEF524370 GOA524370:GOB524370 GXW524370:GXX524370 HHS524370:HHT524370 HRO524370:HRP524370 IBK524370:IBL524370 ILG524370:ILH524370 IVC524370:IVD524370 JEY524370:JEZ524370 JOU524370:JOV524370 JYQ524370:JYR524370 KIM524370:KIN524370 KSI524370:KSJ524370 LCE524370:LCF524370 LMA524370:LMB524370 LVW524370:LVX524370 MFS524370:MFT524370 MPO524370:MPP524370 MZK524370:MZL524370 NJG524370:NJH524370 NTC524370:NTD524370 OCY524370:OCZ524370 OMU524370:OMV524370 OWQ524370:OWR524370 PGM524370:PGN524370 PQI524370:PQJ524370 QAE524370:QAF524370 QKA524370:QKB524370 QTW524370:QTX524370 RDS524370:RDT524370 RNO524370:RNP524370 RXK524370:RXL524370 SHG524370:SHH524370 SRC524370:SRD524370 TAY524370:TAZ524370 TKU524370:TKV524370 TUQ524370:TUR524370 UEM524370:UEN524370 UOI524370:UOJ524370 UYE524370:UYF524370 VIA524370:VIB524370 VRW524370:VRX524370 WBS524370:WBT524370 WLO524370:WLP524370 WVK524370:WVL524370 C589906:D589906 IY589906:IZ589906 SU589906:SV589906 ACQ589906:ACR589906 AMM589906:AMN589906 AWI589906:AWJ589906 BGE589906:BGF589906 BQA589906:BQB589906 BZW589906:BZX589906 CJS589906:CJT589906 CTO589906:CTP589906 DDK589906:DDL589906 DNG589906:DNH589906 DXC589906:DXD589906 EGY589906:EGZ589906 EQU589906:EQV589906 FAQ589906:FAR589906 FKM589906:FKN589906 FUI589906:FUJ589906 GEE589906:GEF589906 GOA589906:GOB589906 GXW589906:GXX589906 HHS589906:HHT589906 HRO589906:HRP589906 IBK589906:IBL589906 ILG589906:ILH589906 IVC589906:IVD589906 JEY589906:JEZ589906 JOU589906:JOV589906 JYQ589906:JYR589906 KIM589906:KIN589906 KSI589906:KSJ589906 LCE589906:LCF589906 LMA589906:LMB589906 LVW589906:LVX589906 MFS589906:MFT589906 MPO589906:MPP589906 MZK589906:MZL589906 NJG589906:NJH589906 NTC589906:NTD589906 OCY589906:OCZ589906 OMU589906:OMV589906 OWQ589906:OWR589906 PGM589906:PGN589906 PQI589906:PQJ589906 QAE589906:QAF589906 QKA589906:QKB589906 QTW589906:QTX589906 RDS589906:RDT589906 RNO589906:RNP589906 RXK589906:RXL589906 SHG589906:SHH589906 SRC589906:SRD589906 TAY589906:TAZ589906 TKU589906:TKV589906 TUQ589906:TUR589906 UEM589906:UEN589906 UOI589906:UOJ589906 UYE589906:UYF589906 VIA589906:VIB589906 VRW589906:VRX589906 WBS589906:WBT589906 WLO589906:WLP589906 WVK589906:WVL589906 C655442:D655442 IY655442:IZ655442 SU655442:SV655442 ACQ655442:ACR655442 AMM655442:AMN655442 AWI655442:AWJ655442 BGE655442:BGF655442 BQA655442:BQB655442 BZW655442:BZX655442 CJS655442:CJT655442 CTO655442:CTP655442 DDK655442:DDL655442 DNG655442:DNH655442 DXC655442:DXD655442 EGY655442:EGZ655442 EQU655442:EQV655442 FAQ655442:FAR655442 FKM655442:FKN655442 FUI655442:FUJ655442 GEE655442:GEF655442 GOA655442:GOB655442 GXW655442:GXX655442 HHS655442:HHT655442 HRO655442:HRP655442 IBK655442:IBL655442 ILG655442:ILH655442 IVC655442:IVD655442 JEY655442:JEZ655442 JOU655442:JOV655442 JYQ655442:JYR655442 KIM655442:KIN655442 KSI655442:KSJ655442 LCE655442:LCF655442 LMA655442:LMB655442 LVW655442:LVX655442 MFS655442:MFT655442 MPO655442:MPP655442 MZK655442:MZL655442 NJG655442:NJH655442 NTC655442:NTD655442 OCY655442:OCZ655442 OMU655442:OMV655442 OWQ655442:OWR655442 PGM655442:PGN655442 PQI655442:PQJ655442 QAE655442:QAF655442 QKA655442:QKB655442 QTW655442:QTX655442 RDS655442:RDT655442 RNO655442:RNP655442 RXK655442:RXL655442 SHG655442:SHH655442 SRC655442:SRD655442 TAY655442:TAZ655442 TKU655442:TKV655442 TUQ655442:TUR655442 UEM655442:UEN655442 UOI655442:UOJ655442 UYE655442:UYF655442 VIA655442:VIB655442 VRW655442:VRX655442 WBS655442:WBT655442 WLO655442:WLP655442 WVK655442:WVL655442 C720978:D720978 IY720978:IZ720978 SU720978:SV720978 ACQ720978:ACR720978 AMM720978:AMN720978 AWI720978:AWJ720978 BGE720978:BGF720978 BQA720978:BQB720978 BZW720978:BZX720978 CJS720978:CJT720978 CTO720978:CTP720978 DDK720978:DDL720978 DNG720978:DNH720978 DXC720978:DXD720978 EGY720978:EGZ720978 EQU720978:EQV720978 FAQ720978:FAR720978 FKM720978:FKN720978 FUI720978:FUJ720978 GEE720978:GEF720978 GOA720978:GOB720978 GXW720978:GXX720978 HHS720978:HHT720978 HRO720978:HRP720978 IBK720978:IBL720978 ILG720978:ILH720978 IVC720978:IVD720978 JEY720978:JEZ720978 JOU720978:JOV720978 JYQ720978:JYR720978 KIM720978:KIN720978 KSI720978:KSJ720978 LCE720978:LCF720978 LMA720978:LMB720978 LVW720978:LVX720978 MFS720978:MFT720978 MPO720978:MPP720978 MZK720978:MZL720978 NJG720978:NJH720978 NTC720978:NTD720978 OCY720978:OCZ720978 OMU720978:OMV720978 OWQ720978:OWR720978 PGM720978:PGN720978 PQI720978:PQJ720978 QAE720978:QAF720978 QKA720978:QKB720978 QTW720978:QTX720978 RDS720978:RDT720978 RNO720978:RNP720978 RXK720978:RXL720978 SHG720978:SHH720978 SRC720978:SRD720978 TAY720978:TAZ720978 TKU720978:TKV720978 TUQ720978:TUR720978 UEM720978:UEN720978 UOI720978:UOJ720978 UYE720978:UYF720978 VIA720978:VIB720978 VRW720978:VRX720978 WBS720978:WBT720978 WLO720978:WLP720978 WVK720978:WVL720978 C786514:D786514 IY786514:IZ786514 SU786514:SV786514 ACQ786514:ACR786514 AMM786514:AMN786514 AWI786514:AWJ786514 BGE786514:BGF786514 BQA786514:BQB786514 BZW786514:BZX786514 CJS786514:CJT786514 CTO786514:CTP786514 DDK786514:DDL786514 DNG786514:DNH786514 DXC786514:DXD786514 EGY786514:EGZ786514 EQU786514:EQV786514 FAQ786514:FAR786514 FKM786514:FKN786514 FUI786514:FUJ786514 GEE786514:GEF786514 GOA786514:GOB786514 GXW786514:GXX786514 HHS786514:HHT786514 HRO786514:HRP786514 IBK786514:IBL786514 ILG786514:ILH786514 IVC786514:IVD786514 JEY786514:JEZ786514 JOU786514:JOV786514 JYQ786514:JYR786514 KIM786514:KIN786514 KSI786514:KSJ786514 LCE786514:LCF786514 LMA786514:LMB786514 LVW786514:LVX786514 MFS786514:MFT786514 MPO786514:MPP786514 MZK786514:MZL786514 NJG786514:NJH786514 NTC786514:NTD786514 OCY786514:OCZ786514 OMU786514:OMV786514 OWQ786514:OWR786514 PGM786514:PGN786514 PQI786514:PQJ786514 QAE786514:QAF786514 QKA786514:QKB786514 QTW786514:QTX786514 RDS786514:RDT786514 RNO786514:RNP786514 RXK786514:RXL786514 SHG786514:SHH786514 SRC786514:SRD786514 TAY786514:TAZ786514 TKU786514:TKV786514 TUQ786514:TUR786514 UEM786514:UEN786514 UOI786514:UOJ786514 UYE786514:UYF786514 VIA786514:VIB786514 VRW786514:VRX786514 WBS786514:WBT786514 WLO786514:WLP786514 WVK786514:WVL786514 C852050:D852050 IY852050:IZ852050 SU852050:SV852050 ACQ852050:ACR852050 AMM852050:AMN852050 AWI852050:AWJ852050 BGE852050:BGF852050 BQA852050:BQB852050 BZW852050:BZX852050 CJS852050:CJT852050 CTO852050:CTP852050 DDK852050:DDL852050 DNG852050:DNH852050 DXC852050:DXD852050 EGY852050:EGZ852050 EQU852050:EQV852050 FAQ852050:FAR852050 FKM852050:FKN852050 FUI852050:FUJ852050 GEE852050:GEF852050 GOA852050:GOB852050 GXW852050:GXX852050 HHS852050:HHT852050 HRO852050:HRP852050 IBK852050:IBL852050 ILG852050:ILH852050 IVC852050:IVD852050 JEY852050:JEZ852050 JOU852050:JOV852050 JYQ852050:JYR852050 KIM852050:KIN852050 KSI852050:KSJ852050 LCE852050:LCF852050 LMA852050:LMB852050 LVW852050:LVX852050 MFS852050:MFT852050 MPO852050:MPP852050 MZK852050:MZL852050 NJG852050:NJH852050 NTC852050:NTD852050 OCY852050:OCZ852050 OMU852050:OMV852050 OWQ852050:OWR852050 PGM852050:PGN852050 PQI852050:PQJ852050 QAE852050:QAF852050 QKA852050:QKB852050 QTW852050:QTX852050 RDS852050:RDT852050 RNO852050:RNP852050 RXK852050:RXL852050 SHG852050:SHH852050 SRC852050:SRD852050 TAY852050:TAZ852050 TKU852050:TKV852050 TUQ852050:TUR852050 UEM852050:UEN852050 UOI852050:UOJ852050 UYE852050:UYF852050 VIA852050:VIB852050 VRW852050:VRX852050 WBS852050:WBT852050 WLO852050:WLP852050 WVK852050:WVL852050 C917586:D917586 IY917586:IZ917586 SU917586:SV917586 ACQ917586:ACR917586 AMM917586:AMN917586 AWI917586:AWJ917586 BGE917586:BGF917586 BQA917586:BQB917586 BZW917586:BZX917586 CJS917586:CJT917586 CTO917586:CTP917586 DDK917586:DDL917586 DNG917586:DNH917586 DXC917586:DXD917586 EGY917586:EGZ917586 EQU917586:EQV917586 FAQ917586:FAR917586 FKM917586:FKN917586 FUI917586:FUJ917586 GEE917586:GEF917586 GOA917586:GOB917586 GXW917586:GXX917586 HHS917586:HHT917586 HRO917586:HRP917586 IBK917586:IBL917586 ILG917586:ILH917586 IVC917586:IVD917586 JEY917586:JEZ917586 JOU917586:JOV917586 JYQ917586:JYR917586 KIM917586:KIN917586 KSI917586:KSJ917586 LCE917586:LCF917586 LMA917586:LMB917586 LVW917586:LVX917586 MFS917586:MFT917586 MPO917586:MPP917586 MZK917586:MZL917586 NJG917586:NJH917586 NTC917586:NTD917586 OCY917586:OCZ917586 OMU917586:OMV917586 OWQ917586:OWR917586 PGM917586:PGN917586 PQI917586:PQJ917586 QAE917586:QAF917586 QKA917586:QKB917586 QTW917586:QTX917586 RDS917586:RDT917586 RNO917586:RNP917586 RXK917586:RXL917586 SHG917586:SHH917586 SRC917586:SRD917586 TAY917586:TAZ917586 TKU917586:TKV917586 TUQ917586:TUR917586 UEM917586:UEN917586 UOI917586:UOJ917586 UYE917586:UYF917586 VIA917586:VIB917586 VRW917586:VRX917586 WBS917586:WBT917586 WLO917586:WLP917586 WVK917586:WVL917586 C983122:D983122 IY983122:IZ983122 SU983122:SV983122 ACQ983122:ACR983122 AMM983122:AMN983122 AWI983122:AWJ983122 BGE983122:BGF983122 BQA983122:BQB983122 BZW983122:BZX983122 CJS983122:CJT983122 CTO983122:CTP983122 DDK983122:DDL983122 DNG983122:DNH983122 DXC983122:DXD983122 EGY983122:EGZ983122 EQU983122:EQV983122 FAQ983122:FAR983122 FKM983122:FKN983122 FUI983122:FUJ983122 GEE983122:GEF983122 GOA983122:GOB983122 GXW983122:GXX983122 HHS983122:HHT983122 HRO983122:HRP983122 IBK983122:IBL983122 ILG983122:ILH983122 IVC983122:IVD983122 JEY983122:JEZ983122 JOU983122:JOV983122 JYQ983122:JYR983122 KIM983122:KIN983122 KSI983122:KSJ983122 LCE983122:LCF983122 LMA983122:LMB983122 LVW983122:LVX983122 MFS983122:MFT983122 MPO983122:MPP983122 MZK983122:MZL983122 NJG983122:NJH983122 NTC983122:NTD983122 OCY983122:OCZ983122 OMU983122:OMV983122 OWQ983122:OWR983122 PGM983122:PGN983122 PQI983122:PQJ983122 QAE983122:QAF983122 QKA983122:QKB983122 QTW983122:QTX983122 RDS983122:RDT983122 RNO983122:RNP983122 RXK983122:RXL983122 SHG983122:SHH983122 SRC983122:SRD983122 TAY983122:TAZ983122 TKU983122:TKV983122 TUQ983122:TUR983122 UEM983122:UEN983122 UOI983122:UOJ983122 UYE983122:UYF983122 VIA983122:VIB983122 VRW983122:VRX983122 WBS983122:WBT983122 WLO983122:WLP983122 WVK983122:WVL983122 C98:D98 IY98:IZ98 SU98:SV98 ACQ98:ACR98 AMM98:AMN98 AWI98:AWJ98 BGE98:BGF98 BQA98:BQB98 BZW98:BZX98 CJS98:CJT98 CTO98:CTP98 DDK98:DDL98 DNG98:DNH98 DXC98:DXD98 EGY98:EGZ98 EQU98:EQV98 FAQ98:FAR98 FKM98:FKN98 FUI98:FUJ98 GEE98:GEF98 GOA98:GOB98 GXW98:GXX98 HHS98:HHT98 HRO98:HRP98 IBK98:IBL98 ILG98:ILH98 IVC98:IVD98 JEY98:JEZ98 JOU98:JOV98 JYQ98:JYR98 KIM98:KIN98 KSI98:KSJ98 LCE98:LCF98 LMA98:LMB98 LVW98:LVX98 MFS98:MFT98 MPO98:MPP98 MZK98:MZL98 NJG98:NJH98 NTC98:NTD98 OCY98:OCZ98 OMU98:OMV98 OWQ98:OWR98 PGM98:PGN98 PQI98:PQJ98 QAE98:QAF98 QKA98:QKB98 QTW98:QTX98 RDS98:RDT98 RNO98:RNP98 RXK98:RXL98 SHG98:SHH98 SRC98:SRD98 TAY98:TAZ98 TKU98:TKV98 TUQ98:TUR98 UEM98:UEN98 UOI98:UOJ98 UYE98:UYF98 VIA98:VIB98 VRW98:VRX98 WBS98:WBT98 WLO98:WLP98 WVK98:WVL98 C65634:D65634 IY65634:IZ65634 SU65634:SV65634 ACQ65634:ACR65634 AMM65634:AMN65634 AWI65634:AWJ65634 BGE65634:BGF65634 BQA65634:BQB65634 BZW65634:BZX65634 CJS65634:CJT65634 CTO65634:CTP65634 DDK65634:DDL65634 DNG65634:DNH65634 DXC65634:DXD65634 EGY65634:EGZ65634 EQU65634:EQV65634 FAQ65634:FAR65634 FKM65634:FKN65634 FUI65634:FUJ65634 GEE65634:GEF65634 GOA65634:GOB65634 GXW65634:GXX65634 HHS65634:HHT65634 HRO65634:HRP65634 IBK65634:IBL65634 ILG65634:ILH65634 IVC65634:IVD65634 JEY65634:JEZ65634 JOU65634:JOV65634 JYQ65634:JYR65634 KIM65634:KIN65634 KSI65634:KSJ65634 LCE65634:LCF65634 LMA65634:LMB65634 LVW65634:LVX65634 MFS65634:MFT65634 MPO65634:MPP65634 MZK65634:MZL65634 NJG65634:NJH65634 NTC65634:NTD65634 OCY65634:OCZ65634 OMU65634:OMV65634 OWQ65634:OWR65634 PGM65634:PGN65634 PQI65634:PQJ65634 QAE65634:QAF65634 QKA65634:QKB65634 QTW65634:QTX65634 RDS65634:RDT65634 RNO65634:RNP65634 RXK65634:RXL65634 SHG65634:SHH65634 SRC65634:SRD65634 TAY65634:TAZ65634 TKU65634:TKV65634 TUQ65634:TUR65634 UEM65634:UEN65634 UOI65634:UOJ65634 UYE65634:UYF65634 VIA65634:VIB65634 VRW65634:VRX65634 WBS65634:WBT65634 WLO65634:WLP65634 WVK65634:WVL65634 C131170:D131170 IY131170:IZ131170 SU131170:SV131170 ACQ131170:ACR131170 AMM131170:AMN131170 AWI131170:AWJ131170 BGE131170:BGF131170 BQA131170:BQB131170 BZW131170:BZX131170 CJS131170:CJT131170 CTO131170:CTP131170 DDK131170:DDL131170 DNG131170:DNH131170 DXC131170:DXD131170 EGY131170:EGZ131170 EQU131170:EQV131170 FAQ131170:FAR131170 FKM131170:FKN131170 FUI131170:FUJ131170 GEE131170:GEF131170 GOA131170:GOB131170 GXW131170:GXX131170 HHS131170:HHT131170 HRO131170:HRP131170 IBK131170:IBL131170 ILG131170:ILH131170 IVC131170:IVD131170 JEY131170:JEZ131170 JOU131170:JOV131170 JYQ131170:JYR131170 KIM131170:KIN131170 KSI131170:KSJ131170 LCE131170:LCF131170 LMA131170:LMB131170 LVW131170:LVX131170 MFS131170:MFT131170 MPO131170:MPP131170 MZK131170:MZL131170 NJG131170:NJH131170 NTC131170:NTD131170 OCY131170:OCZ131170 OMU131170:OMV131170 OWQ131170:OWR131170 PGM131170:PGN131170 PQI131170:PQJ131170 QAE131170:QAF131170 QKA131170:QKB131170 QTW131170:QTX131170 RDS131170:RDT131170 RNO131170:RNP131170 RXK131170:RXL131170 SHG131170:SHH131170 SRC131170:SRD131170 TAY131170:TAZ131170 TKU131170:TKV131170 TUQ131170:TUR131170 UEM131170:UEN131170 UOI131170:UOJ131170 UYE131170:UYF131170 VIA131170:VIB131170 VRW131170:VRX131170 WBS131170:WBT131170 WLO131170:WLP131170 WVK131170:WVL131170 C196706:D196706 IY196706:IZ196706 SU196706:SV196706 ACQ196706:ACR196706 AMM196706:AMN196706 AWI196706:AWJ196706 BGE196706:BGF196706 BQA196706:BQB196706 BZW196706:BZX196706 CJS196706:CJT196706 CTO196706:CTP196706 DDK196706:DDL196706 DNG196706:DNH196706 DXC196706:DXD196706 EGY196706:EGZ196706 EQU196706:EQV196706 FAQ196706:FAR196706 FKM196706:FKN196706 FUI196706:FUJ196706 GEE196706:GEF196706 GOA196706:GOB196706 GXW196706:GXX196706 HHS196706:HHT196706 HRO196706:HRP196706 IBK196706:IBL196706 ILG196706:ILH196706 IVC196706:IVD196706 JEY196706:JEZ196706 JOU196706:JOV196706 JYQ196706:JYR196706 KIM196706:KIN196706 KSI196706:KSJ196706 LCE196706:LCF196706 LMA196706:LMB196706 LVW196706:LVX196706 MFS196706:MFT196706 MPO196706:MPP196706 MZK196706:MZL196706 NJG196706:NJH196706 NTC196706:NTD196706 OCY196706:OCZ196706 OMU196706:OMV196706 OWQ196706:OWR196706 PGM196706:PGN196706 PQI196706:PQJ196706 QAE196706:QAF196706 QKA196706:QKB196706 QTW196706:QTX196706 RDS196706:RDT196706 RNO196706:RNP196706 RXK196706:RXL196706 SHG196706:SHH196706 SRC196706:SRD196706 TAY196706:TAZ196706 TKU196706:TKV196706 TUQ196706:TUR196706 UEM196706:UEN196706 UOI196706:UOJ196706 UYE196706:UYF196706 VIA196706:VIB196706 VRW196706:VRX196706 WBS196706:WBT196706 WLO196706:WLP196706 WVK196706:WVL196706 C262242:D262242 IY262242:IZ262242 SU262242:SV262242 ACQ262242:ACR262242 AMM262242:AMN262242 AWI262242:AWJ262242 BGE262242:BGF262242 BQA262242:BQB262242 BZW262242:BZX262242 CJS262242:CJT262242 CTO262242:CTP262242 DDK262242:DDL262242 DNG262242:DNH262242 DXC262242:DXD262242 EGY262242:EGZ262242 EQU262242:EQV262242 FAQ262242:FAR262242 FKM262242:FKN262242 FUI262242:FUJ262242 GEE262242:GEF262242 GOA262242:GOB262242 GXW262242:GXX262242 HHS262242:HHT262242 HRO262242:HRP262242 IBK262242:IBL262242 ILG262242:ILH262242 IVC262242:IVD262242 JEY262242:JEZ262242 JOU262242:JOV262242 JYQ262242:JYR262242 KIM262242:KIN262242 KSI262242:KSJ262242 LCE262242:LCF262242 LMA262242:LMB262242 LVW262242:LVX262242 MFS262242:MFT262242 MPO262242:MPP262242 MZK262242:MZL262242 NJG262242:NJH262242 NTC262242:NTD262242 OCY262242:OCZ262242 OMU262242:OMV262242 OWQ262242:OWR262242 PGM262242:PGN262242 PQI262242:PQJ262242 QAE262242:QAF262242 QKA262242:QKB262242 QTW262242:QTX262242 RDS262242:RDT262242 RNO262242:RNP262242 RXK262242:RXL262242 SHG262242:SHH262242 SRC262242:SRD262242 TAY262242:TAZ262242 TKU262242:TKV262242 TUQ262242:TUR262242 UEM262242:UEN262242 UOI262242:UOJ262242 UYE262242:UYF262242 VIA262242:VIB262242 VRW262242:VRX262242 WBS262242:WBT262242 WLO262242:WLP262242 WVK262242:WVL262242 C327778:D327778 IY327778:IZ327778 SU327778:SV327778 ACQ327778:ACR327778 AMM327778:AMN327778 AWI327778:AWJ327778 BGE327778:BGF327778 BQA327778:BQB327778 BZW327778:BZX327778 CJS327778:CJT327778 CTO327778:CTP327778 DDK327778:DDL327778 DNG327778:DNH327778 DXC327778:DXD327778 EGY327778:EGZ327778 EQU327778:EQV327778 FAQ327778:FAR327778 FKM327778:FKN327778 FUI327778:FUJ327778 GEE327778:GEF327778 GOA327778:GOB327778 GXW327778:GXX327778 HHS327778:HHT327778 HRO327778:HRP327778 IBK327778:IBL327778 ILG327778:ILH327778 IVC327778:IVD327778 JEY327778:JEZ327778 JOU327778:JOV327778 JYQ327778:JYR327778 KIM327778:KIN327778 KSI327778:KSJ327778 LCE327778:LCF327778 LMA327778:LMB327778 LVW327778:LVX327778 MFS327778:MFT327778 MPO327778:MPP327778 MZK327778:MZL327778 NJG327778:NJH327778 NTC327778:NTD327778 OCY327778:OCZ327778 OMU327778:OMV327778 OWQ327778:OWR327778 PGM327778:PGN327778 PQI327778:PQJ327778 QAE327778:QAF327778 QKA327778:QKB327778 QTW327778:QTX327778 RDS327778:RDT327778 RNO327778:RNP327778 RXK327778:RXL327778 SHG327778:SHH327778 SRC327778:SRD327778 TAY327778:TAZ327778 TKU327778:TKV327778 TUQ327778:TUR327778 UEM327778:UEN327778 UOI327778:UOJ327778 UYE327778:UYF327778 VIA327778:VIB327778 VRW327778:VRX327778 WBS327778:WBT327778 WLO327778:WLP327778 WVK327778:WVL327778 C393314:D393314 IY393314:IZ393314 SU393314:SV393314 ACQ393314:ACR393314 AMM393314:AMN393314 AWI393314:AWJ393314 BGE393314:BGF393314 BQA393314:BQB393314 BZW393314:BZX393314 CJS393314:CJT393314 CTO393314:CTP393314 DDK393314:DDL393314 DNG393314:DNH393314 DXC393314:DXD393314 EGY393314:EGZ393314 EQU393314:EQV393314 FAQ393314:FAR393314 FKM393314:FKN393314 FUI393314:FUJ393314 GEE393314:GEF393314 GOA393314:GOB393314 GXW393314:GXX393314 HHS393314:HHT393314 HRO393314:HRP393314 IBK393314:IBL393314 ILG393314:ILH393314 IVC393314:IVD393314 JEY393314:JEZ393314 JOU393314:JOV393314 JYQ393314:JYR393314 KIM393314:KIN393314 KSI393314:KSJ393314 LCE393314:LCF393314 LMA393314:LMB393314 LVW393314:LVX393314 MFS393314:MFT393314 MPO393314:MPP393314 MZK393314:MZL393314 NJG393314:NJH393314 NTC393314:NTD393314 OCY393314:OCZ393314 OMU393314:OMV393314 OWQ393314:OWR393314 PGM393314:PGN393314 PQI393314:PQJ393314 QAE393314:QAF393314 QKA393314:QKB393314 QTW393314:QTX393314 RDS393314:RDT393314 RNO393314:RNP393314 RXK393314:RXL393314 SHG393314:SHH393314 SRC393314:SRD393314 TAY393314:TAZ393314 TKU393314:TKV393314 TUQ393314:TUR393314 UEM393314:UEN393314 UOI393314:UOJ393314 UYE393314:UYF393314 VIA393314:VIB393314 VRW393314:VRX393314 WBS393314:WBT393314 WLO393314:WLP393314 WVK393314:WVL393314 C458850:D458850 IY458850:IZ458850 SU458850:SV458850 ACQ458850:ACR458850 AMM458850:AMN458850 AWI458850:AWJ458850 BGE458850:BGF458850 BQA458850:BQB458850 BZW458850:BZX458850 CJS458850:CJT458850 CTO458850:CTP458850 DDK458850:DDL458850 DNG458850:DNH458850 DXC458850:DXD458850 EGY458850:EGZ458850 EQU458850:EQV458850 FAQ458850:FAR458850 FKM458850:FKN458850 FUI458850:FUJ458850 GEE458850:GEF458850 GOA458850:GOB458850 GXW458850:GXX458850 HHS458850:HHT458850 HRO458850:HRP458850 IBK458850:IBL458850 ILG458850:ILH458850 IVC458850:IVD458850 JEY458850:JEZ458850 JOU458850:JOV458850 JYQ458850:JYR458850 KIM458850:KIN458850 KSI458850:KSJ458850 LCE458850:LCF458850 LMA458850:LMB458850 LVW458850:LVX458850 MFS458850:MFT458850 MPO458850:MPP458850 MZK458850:MZL458850 NJG458850:NJH458850 NTC458850:NTD458850 OCY458850:OCZ458850 OMU458850:OMV458850 OWQ458850:OWR458850 PGM458850:PGN458850 PQI458850:PQJ458850 QAE458850:QAF458850 QKA458850:QKB458850 QTW458850:QTX458850 RDS458850:RDT458850 RNO458850:RNP458850 RXK458850:RXL458850 SHG458850:SHH458850 SRC458850:SRD458850 TAY458850:TAZ458850 TKU458850:TKV458850 TUQ458850:TUR458850 UEM458850:UEN458850 UOI458850:UOJ458850 UYE458850:UYF458850 VIA458850:VIB458850 VRW458850:VRX458850 WBS458850:WBT458850 WLO458850:WLP458850 WVK458850:WVL458850 C524386:D524386 IY524386:IZ524386 SU524386:SV524386 ACQ524386:ACR524386 AMM524386:AMN524386 AWI524386:AWJ524386 BGE524386:BGF524386 BQA524386:BQB524386 BZW524386:BZX524386 CJS524386:CJT524386 CTO524386:CTP524386 DDK524386:DDL524386 DNG524386:DNH524386 DXC524386:DXD524386 EGY524386:EGZ524386 EQU524386:EQV524386 FAQ524386:FAR524386 FKM524386:FKN524386 FUI524386:FUJ524386 GEE524386:GEF524386 GOA524386:GOB524386 GXW524386:GXX524386 HHS524386:HHT524386 HRO524386:HRP524386 IBK524386:IBL524386 ILG524386:ILH524386 IVC524386:IVD524386 JEY524386:JEZ524386 JOU524386:JOV524386 JYQ524386:JYR524386 KIM524386:KIN524386 KSI524386:KSJ524386 LCE524386:LCF524386 LMA524386:LMB524386 LVW524386:LVX524386 MFS524386:MFT524386 MPO524386:MPP524386 MZK524386:MZL524386 NJG524386:NJH524386 NTC524386:NTD524386 OCY524386:OCZ524386 OMU524386:OMV524386 OWQ524386:OWR524386 PGM524386:PGN524386 PQI524386:PQJ524386 QAE524386:QAF524386 QKA524386:QKB524386 QTW524386:QTX524386 RDS524386:RDT524386 RNO524386:RNP524386 RXK524386:RXL524386 SHG524386:SHH524386 SRC524386:SRD524386 TAY524386:TAZ524386 TKU524386:TKV524386 TUQ524386:TUR524386 UEM524386:UEN524386 UOI524386:UOJ524386 UYE524386:UYF524386 VIA524386:VIB524386 VRW524386:VRX524386 WBS524386:WBT524386 WLO524386:WLP524386 WVK524386:WVL524386 C589922:D589922 IY589922:IZ589922 SU589922:SV589922 ACQ589922:ACR589922 AMM589922:AMN589922 AWI589922:AWJ589922 BGE589922:BGF589922 BQA589922:BQB589922 BZW589922:BZX589922 CJS589922:CJT589922 CTO589922:CTP589922 DDK589922:DDL589922 DNG589922:DNH589922 DXC589922:DXD589922 EGY589922:EGZ589922 EQU589922:EQV589922 FAQ589922:FAR589922 FKM589922:FKN589922 FUI589922:FUJ589922 GEE589922:GEF589922 GOA589922:GOB589922 GXW589922:GXX589922 HHS589922:HHT589922 HRO589922:HRP589922 IBK589922:IBL589922 ILG589922:ILH589922 IVC589922:IVD589922 JEY589922:JEZ589922 JOU589922:JOV589922 JYQ589922:JYR589922 KIM589922:KIN589922 KSI589922:KSJ589922 LCE589922:LCF589922 LMA589922:LMB589922 LVW589922:LVX589922 MFS589922:MFT589922 MPO589922:MPP589922 MZK589922:MZL589922 NJG589922:NJH589922 NTC589922:NTD589922 OCY589922:OCZ589922 OMU589922:OMV589922 OWQ589922:OWR589922 PGM589922:PGN589922 PQI589922:PQJ589922 QAE589922:QAF589922 QKA589922:QKB589922 QTW589922:QTX589922 RDS589922:RDT589922 RNO589922:RNP589922 RXK589922:RXL589922 SHG589922:SHH589922 SRC589922:SRD589922 TAY589922:TAZ589922 TKU589922:TKV589922 TUQ589922:TUR589922 UEM589922:UEN589922 UOI589922:UOJ589922 UYE589922:UYF589922 VIA589922:VIB589922 VRW589922:VRX589922 WBS589922:WBT589922 WLO589922:WLP589922 WVK589922:WVL589922 C655458:D655458 IY655458:IZ655458 SU655458:SV655458 ACQ655458:ACR655458 AMM655458:AMN655458 AWI655458:AWJ655458 BGE655458:BGF655458 BQA655458:BQB655458 BZW655458:BZX655458 CJS655458:CJT655458 CTO655458:CTP655458 DDK655458:DDL655458 DNG655458:DNH655458 DXC655458:DXD655458 EGY655458:EGZ655458 EQU655458:EQV655458 FAQ655458:FAR655458 FKM655458:FKN655458 FUI655458:FUJ655458 GEE655458:GEF655458 GOA655458:GOB655458 GXW655458:GXX655458 HHS655458:HHT655458 HRO655458:HRP655458 IBK655458:IBL655458 ILG655458:ILH655458 IVC655458:IVD655458 JEY655458:JEZ655458 JOU655458:JOV655458 JYQ655458:JYR655458 KIM655458:KIN655458 KSI655458:KSJ655458 LCE655458:LCF655458 LMA655458:LMB655458 LVW655458:LVX655458 MFS655458:MFT655458 MPO655458:MPP655458 MZK655458:MZL655458 NJG655458:NJH655458 NTC655458:NTD655458 OCY655458:OCZ655458 OMU655458:OMV655458 OWQ655458:OWR655458 PGM655458:PGN655458 PQI655458:PQJ655458 QAE655458:QAF655458 QKA655458:QKB655458 QTW655458:QTX655458 RDS655458:RDT655458 RNO655458:RNP655458 RXK655458:RXL655458 SHG655458:SHH655458 SRC655458:SRD655458 TAY655458:TAZ655458 TKU655458:TKV655458 TUQ655458:TUR655458 UEM655458:UEN655458 UOI655458:UOJ655458 UYE655458:UYF655458 VIA655458:VIB655458 VRW655458:VRX655458 WBS655458:WBT655458 WLO655458:WLP655458 WVK655458:WVL655458 C720994:D720994 IY720994:IZ720994 SU720994:SV720994 ACQ720994:ACR720994 AMM720994:AMN720994 AWI720994:AWJ720994 BGE720994:BGF720994 BQA720994:BQB720994 BZW720994:BZX720994 CJS720994:CJT720994 CTO720994:CTP720994 DDK720994:DDL720994 DNG720994:DNH720994 DXC720994:DXD720994 EGY720994:EGZ720994 EQU720994:EQV720994 FAQ720994:FAR720994 FKM720994:FKN720994 FUI720994:FUJ720994 GEE720994:GEF720994 GOA720994:GOB720994 GXW720994:GXX720994 HHS720994:HHT720994 HRO720994:HRP720994 IBK720994:IBL720994 ILG720994:ILH720994 IVC720994:IVD720994 JEY720994:JEZ720994 JOU720994:JOV720994 JYQ720994:JYR720994 KIM720994:KIN720994 KSI720994:KSJ720994 LCE720994:LCF720994 LMA720994:LMB720994 LVW720994:LVX720994 MFS720994:MFT720994 MPO720994:MPP720994 MZK720994:MZL720994 NJG720994:NJH720994 NTC720994:NTD720994 OCY720994:OCZ720994 OMU720994:OMV720994 OWQ720994:OWR720994 PGM720994:PGN720994 PQI720994:PQJ720994 QAE720994:QAF720994 QKA720994:QKB720994 QTW720994:QTX720994 RDS720994:RDT720994 RNO720994:RNP720994 RXK720994:RXL720994 SHG720994:SHH720994 SRC720994:SRD720994 TAY720994:TAZ720994 TKU720994:TKV720994 TUQ720994:TUR720994 UEM720994:UEN720994 UOI720994:UOJ720994 UYE720994:UYF720994 VIA720994:VIB720994 VRW720994:VRX720994 WBS720994:WBT720994 WLO720994:WLP720994 WVK720994:WVL720994 C786530:D786530 IY786530:IZ786530 SU786530:SV786530 ACQ786530:ACR786530 AMM786530:AMN786530 AWI786530:AWJ786530 BGE786530:BGF786530 BQA786530:BQB786530 BZW786530:BZX786530 CJS786530:CJT786530 CTO786530:CTP786530 DDK786530:DDL786530 DNG786530:DNH786530 DXC786530:DXD786530 EGY786530:EGZ786530 EQU786530:EQV786530 FAQ786530:FAR786530 FKM786530:FKN786530 FUI786530:FUJ786530 GEE786530:GEF786530 GOA786530:GOB786530 GXW786530:GXX786530 HHS786530:HHT786530 HRO786530:HRP786530 IBK786530:IBL786530 ILG786530:ILH786530 IVC786530:IVD786530 JEY786530:JEZ786530 JOU786530:JOV786530 JYQ786530:JYR786530 KIM786530:KIN786530 KSI786530:KSJ786530 LCE786530:LCF786530 LMA786530:LMB786530 LVW786530:LVX786530 MFS786530:MFT786530 MPO786530:MPP786530 MZK786530:MZL786530 NJG786530:NJH786530 NTC786530:NTD786530 OCY786530:OCZ786530 OMU786530:OMV786530 OWQ786530:OWR786530 PGM786530:PGN786530 PQI786530:PQJ786530 QAE786530:QAF786530 QKA786530:QKB786530 QTW786530:QTX786530 RDS786530:RDT786530 RNO786530:RNP786530 RXK786530:RXL786530 SHG786530:SHH786530 SRC786530:SRD786530 TAY786530:TAZ786530 TKU786530:TKV786530 TUQ786530:TUR786530 UEM786530:UEN786530 UOI786530:UOJ786530 UYE786530:UYF786530 VIA786530:VIB786530 VRW786530:VRX786530 WBS786530:WBT786530 WLO786530:WLP786530 WVK786530:WVL786530 C852066:D852066 IY852066:IZ852066 SU852066:SV852066 ACQ852066:ACR852066 AMM852066:AMN852066 AWI852066:AWJ852066 BGE852066:BGF852066 BQA852066:BQB852066 BZW852066:BZX852066 CJS852066:CJT852066 CTO852066:CTP852066 DDK852066:DDL852066 DNG852066:DNH852066 DXC852066:DXD852066 EGY852066:EGZ852066 EQU852066:EQV852066 FAQ852066:FAR852066 FKM852066:FKN852066 FUI852066:FUJ852066 GEE852066:GEF852066 GOA852066:GOB852066 GXW852066:GXX852066 HHS852066:HHT852066 HRO852066:HRP852066 IBK852066:IBL852066 ILG852066:ILH852066 IVC852066:IVD852066 JEY852066:JEZ852066 JOU852066:JOV852066 JYQ852066:JYR852066 KIM852066:KIN852066 KSI852066:KSJ852066 LCE852066:LCF852066 LMA852066:LMB852066 LVW852066:LVX852066 MFS852066:MFT852066 MPO852066:MPP852066 MZK852066:MZL852066 NJG852066:NJH852066 NTC852066:NTD852066 OCY852066:OCZ852066 OMU852066:OMV852066 OWQ852066:OWR852066 PGM852066:PGN852066 PQI852066:PQJ852066 QAE852066:QAF852066 QKA852066:QKB852066 QTW852066:QTX852066 RDS852066:RDT852066 RNO852066:RNP852066 RXK852066:RXL852066 SHG852066:SHH852066 SRC852066:SRD852066 TAY852066:TAZ852066 TKU852066:TKV852066 TUQ852066:TUR852066 UEM852066:UEN852066 UOI852066:UOJ852066 UYE852066:UYF852066 VIA852066:VIB852066 VRW852066:VRX852066 WBS852066:WBT852066 WLO852066:WLP852066 WVK852066:WVL852066 C917602:D917602 IY917602:IZ917602 SU917602:SV917602 ACQ917602:ACR917602 AMM917602:AMN917602 AWI917602:AWJ917602 BGE917602:BGF917602 BQA917602:BQB917602 BZW917602:BZX917602 CJS917602:CJT917602 CTO917602:CTP917602 DDK917602:DDL917602 DNG917602:DNH917602 DXC917602:DXD917602 EGY917602:EGZ917602 EQU917602:EQV917602 FAQ917602:FAR917602 FKM917602:FKN917602 FUI917602:FUJ917602 GEE917602:GEF917602 GOA917602:GOB917602 GXW917602:GXX917602 HHS917602:HHT917602 HRO917602:HRP917602 IBK917602:IBL917602 ILG917602:ILH917602 IVC917602:IVD917602 JEY917602:JEZ917602 JOU917602:JOV917602 JYQ917602:JYR917602 KIM917602:KIN917602 KSI917602:KSJ917602 LCE917602:LCF917602 LMA917602:LMB917602 LVW917602:LVX917602 MFS917602:MFT917602 MPO917602:MPP917602 MZK917602:MZL917602 NJG917602:NJH917602 NTC917602:NTD917602 OCY917602:OCZ917602 OMU917602:OMV917602 OWQ917602:OWR917602 PGM917602:PGN917602 PQI917602:PQJ917602 QAE917602:QAF917602 QKA917602:QKB917602 QTW917602:QTX917602 RDS917602:RDT917602 RNO917602:RNP917602 RXK917602:RXL917602 SHG917602:SHH917602 SRC917602:SRD917602 TAY917602:TAZ917602 TKU917602:TKV917602 TUQ917602:TUR917602 UEM917602:UEN917602 UOI917602:UOJ917602 UYE917602:UYF917602 VIA917602:VIB917602 VRW917602:VRX917602 WBS917602:WBT917602 WLO917602:WLP917602 WVK917602:WVL917602 C983138:D983138 IY983138:IZ983138 SU983138:SV983138 ACQ983138:ACR983138 AMM983138:AMN983138 AWI983138:AWJ983138 BGE983138:BGF983138 BQA983138:BQB983138 BZW983138:BZX983138 CJS983138:CJT983138 CTO983138:CTP983138 DDK983138:DDL983138 DNG983138:DNH983138 DXC983138:DXD983138 EGY983138:EGZ983138 EQU983138:EQV983138 FAQ983138:FAR983138 FKM983138:FKN983138 FUI983138:FUJ983138 GEE983138:GEF983138 GOA983138:GOB983138 GXW983138:GXX983138 HHS983138:HHT983138 HRO983138:HRP983138 IBK983138:IBL983138 ILG983138:ILH983138 IVC983138:IVD983138 JEY983138:JEZ983138 JOU983138:JOV983138 JYQ983138:JYR983138 KIM983138:KIN983138 KSI983138:KSJ983138 LCE983138:LCF983138 LMA983138:LMB983138 LVW983138:LVX983138 MFS983138:MFT983138 MPO983138:MPP983138 MZK983138:MZL983138 NJG983138:NJH983138 NTC983138:NTD983138 OCY983138:OCZ983138 OMU983138:OMV983138 OWQ983138:OWR983138 PGM983138:PGN983138 PQI983138:PQJ983138 QAE983138:QAF983138 QKA983138:QKB983138 QTW983138:QTX983138 RDS983138:RDT983138 RNO983138:RNP983138 RXK983138:RXL983138 SHG983138:SHH983138 SRC983138:SRD983138 TAY983138:TAZ983138 TKU983138:TKV983138 TUQ983138:TUR983138 UEM983138:UEN983138 UOI983138:UOJ983138 UYE983138:UYF983138 VIA983138:VIB983138 VRW983138:VRX983138 WBS983138:WBT983138 WLO983138:WLP983138 WVK983138:WVL983138 C114:D114 IY114:IZ114 SU114:SV114 ACQ114:ACR114 AMM114:AMN114 AWI114:AWJ114 BGE114:BGF114 BQA114:BQB114 BZW114:BZX114 CJS114:CJT114 CTO114:CTP114 DDK114:DDL114 DNG114:DNH114 DXC114:DXD114 EGY114:EGZ114 EQU114:EQV114 FAQ114:FAR114 FKM114:FKN114 FUI114:FUJ114 GEE114:GEF114 GOA114:GOB114 GXW114:GXX114 HHS114:HHT114 HRO114:HRP114 IBK114:IBL114 ILG114:ILH114 IVC114:IVD114 JEY114:JEZ114 JOU114:JOV114 JYQ114:JYR114 KIM114:KIN114 KSI114:KSJ114 LCE114:LCF114 LMA114:LMB114 LVW114:LVX114 MFS114:MFT114 MPO114:MPP114 MZK114:MZL114 NJG114:NJH114 NTC114:NTD114 OCY114:OCZ114 OMU114:OMV114 OWQ114:OWR114 PGM114:PGN114 PQI114:PQJ114 QAE114:QAF114 QKA114:QKB114 QTW114:QTX114 RDS114:RDT114 RNO114:RNP114 RXK114:RXL114 SHG114:SHH114 SRC114:SRD114 TAY114:TAZ114 TKU114:TKV114 TUQ114:TUR114 UEM114:UEN114 UOI114:UOJ114 UYE114:UYF114 VIA114:VIB114 VRW114:VRX114 WBS114:WBT114 WLO114:WLP114 WVK114:WVL114 C65650:D65650 IY65650:IZ65650 SU65650:SV65650 ACQ65650:ACR65650 AMM65650:AMN65650 AWI65650:AWJ65650 BGE65650:BGF65650 BQA65650:BQB65650 BZW65650:BZX65650 CJS65650:CJT65650 CTO65650:CTP65650 DDK65650:DDL65650 DNG65650:DNH65650 DXC65650:DXD65650 EGY65650:EGZ65650 EQU65650:EQV65650 FAQ65650:FAR65650 FKM65650:FKN65650 FUI65650:FUJ65650 GEE65650:GEF65650 GOA65650:GOB65650 GXW65650:GXX65650 HHS65650:HHT65650 HRO65650:HRP65650 IBK65650:IBL65650 ILG65650:ILH65650 IVC65650:IVD65650 JEY65650:JEZ65650 JOU65650:JOV65650 JYQ65650:JYR65650 KIM65650:KIN65650 KSI65650:KSJ65650 LCE65650:LCF65650 LMA65650:LMB65650 LVW65650:LVX65650 MFS65650:MFT65650 MPO65650:MPP65650 MZK65650:MZL65650 NJG65650:NJH65650 NTC65650:NTD65650 OCY65650:OCZ65650 OMU65650:OMV65650 OWQ65650:OWR65650 PGM65650:PGN65650 PQI65650:PQJ65650 QAE65650:QAF65650 QKA65650:QKB65650 QTW65650:QTX65650 RDS65650:RDT65650 RNO65650:RNP65650 RXK65650:RXL65650 SHG65650:SHH65650 SRC65650:SRD65650 TAY65650:TAZ65650 TKU65650:TKV65650 TUQ65650:TUR65650 UEM65650:UEN65650 UOI65650:UOJ65650 UYE65650:UYF65650 VIA65650:VIB65650 VRW65650:VRX65650 WBS65650:WBT65650 WLO65650:WLP65650 WVK65650:WVL65650 C131186:D131186 IY131186:IZ131186 SU131186:SV131186 ACQ131186:ACR131186 AMM131186:AMN131186 AWI131186:AWJ131186 BGE131186:BGF131186 BQA131186:BQB131186 BZW131186:BZX131186 CJS131186:CJT131186 CTO131186:CTP131186 DDK131186:DDL131186 DNG131186:DNH131186 DXC131186:DXD131186 EGY131186:EGZ131186 EQU131186:EQV131186 FAQ131186:FAR131186 FKM131186:FKN131186 FUI131186:FUJ131186 GEE131186:GEF131186 GOA131186:GOB131186 GXW131186:GXX131186 HHS131186:HHT131186 HRO131186:HRP131186 IBK131186:IBL131186 ILG131186:ILH131186 IVC131186:IVD131186 JEY131186:JEZ131186 JOU131186:JOV131186 JYQ131186:JYR131186 KIM131186:KIN131186 KSI131186:KSJ131186 LCE131186:LCF131186 LMA131186:LMB131186 LVW131186:LVX131186 MFS131186:MFT131186 MPO131186:MPP131186 MZK131186:MZL131186 NJG131186:NJH131186 NTC131186:NTD131186 OCY131186:OCZ131186 OMU131186:OMV131186 OWQ131186:OWR131186 PGM131186:PGN131186 PQI131186:PQJ131186 QAE131186:QAF131186 QKA131186:QKB131186 QTW131186:QTX131186 RDS131186:RDT131186 RNO131186:RNP131186 RXK131186:RXL131186 SHG131186:SHH131186 SRC131186:SRD131186 TAY131186:TAZ131186 TKU131186:TKV131186 TUQ131186:TUR131186 UEM131186:UEN131186 UOI131186:UOJ131186 UYE131186:UYF131186 VIA131186:VIB131186 VRW131186:VRX131186 WBS131186:WBT131186 WLO131186:WLP131186 WVK131186:WVL131186 C196722:D196722 IY196722:IZ196722 SU196722:SV196722 ACQ196722:ACR196722 AMM196722:AMN196722 AWI196722:AWJ196722 BGE196722:BGF196722 BQA196722:BQB196722 BZW196722:BZX196722 CJS196722:CJT196722 CTO196722:CTP196722 DDK196722:DDL196722 DNG196722:DNH196722 DXC196722:DXD196722 EGY196722:EGZ196722 EQU196722:EQV196722 FAQ196722:FAR196722 FKM196722:FKN196722 FUI196722:FUJ196722 GEE196722:GEF196722 GOA196722:GOB196722 GXW196722:GXX196722 HHS196722:HHT196722 HRO196722:HRP196722 IBK196722:IBL196722 ILG196722:ILH196722 IVC196722:IVD196722 JEY196722:JEZ196722 JOU196722:JOV196722 JYQ196722:JYR196722 KIM196722:KIN196722 KSI196722:KSJ196722 LCE196722:LCF196722 LMA196722:LMB196722 LVW196722:LVX196722 MFS196722:MFT196722 MPO196722:MPP196722 MZK196722:MZL196722 NJG196722:NJH196722 NTC196722:NTD196722 OCY196722:OCZ196722 OMU196722:OMV196722 OWQ196722:OWR196722 PGM196722:PGN196722 PQI196722:PQJ196722 QAE196722:QAF196722 QKA196722:QKB196722 QTW196722:QTX196722 RDS196722:RDT196722 RNO196722:RNP196722 RXK196722:RXL196722 SHG196722:SHH196722 SRC196722:SRD196722 TAY196722:TAZ196722 TKU196722:TKV196722 TUQ196722:TUR196722 UEM196722:UEN196722 UOI196722:UOJ196722 UYE196722:UYF196722 VIA196722:VIB196722 VRW196722:VRX196722 WBS196722:WBT196722 WLO196722:WLP196722 WVK196722:WVL196722 C262258:D262258 IY262258:IZ262258 SU262258:SV262258 ACQ262258:ACR262258 AMM262258:AMN262258 AWI262258:AWJ262258 BGE262258:BGF262258 BQA262258:BQB262258 BZW262258:BZX262258 CJS262258:CJT262258 CTO262258:CTP262258 DDK262258:DDL262258 DNG262258:DNH262258 DXC262258:DXD262258 EGY262258:EGZ262258 EQU262258:EQV262258 FAQ262258:FAR262258 FKM262258:FKN262258 FUI262258:FUJ262258 GEE262258:GEF262258 GOA262258:GOB262258 GXW262258:GXX262258 HHS262258:HHT262258 HRO262258:HRP262258 IBK262258:IBL262258 ILG262258:ILH262258 IVC262258:IVD262258 JEY262258:JEZ262258 JOU262258:JOV262258 JYQ262258:JYR262258 KIM262258:KIN262258 KSI262258:KSJ262258 LCE262258:LCF262258 LMA262258:LMB262258 LVW262258:LVX262258 MFS262258:MFT262258 MPO262258:MPP262258 MZK262258:MZL262258 NJG262258:NJH262258 NTC262258:NTD262258 OCY262258:OCZ262258 OMU262258:OMV262258 OWQ262258:OWR262258 PGM262258:PGN262258 PQI262258:PQJ262258 QAE262258:QAF262258 QKA262258:QKB262258 QTW262258:QTX262258 RDS262258:RDT262258 RNO262258:RNP262258 RXK262258:RXL262258 SHG262258:SHH262258 SRC262258:SRD262258 TAY262258:TAZ262258 TKU262258:TKV262258 TUQ262258:TUR262258 UEM262258:UEN262258 UOI262258:UOJ262258 UYE262258:UYF262258 VIA262258:VIB262258 VRW262258:VRX262258 WBS262258:WBT262258 WLO262258:WLP262258 WVK262258:WVL262258 C327794:D327794 IY327794:IZ327794 SU327794:SV327794 ACQ327794:ACR327794 AMM327794:AMN327794 AWI327794:AWJ327794 BGE327794:BGF327794 BQA327794:BQB327794 BZW327794:BZX327794 CJS327794:CJT327794 CTO327794:CTP327794 DDK327794:DDL327794 DNG327794:DNH327794 DXC327794:DXD327794 EGY327794:EGZ327794 EQU327794:EQV327794 FAQ327794:FAR327794 FKM327794:FKN327794 FUI327794:FUJ327794 GEE327794:GEF327794 GOA327794:GOB327794 GXW327794:GXX327794 HHS327794:HHT327794 HRO327794:HRP327794 IBK327794:IBL327794 ILG327794:ILH327794 IVC327794:IVD327794 JEY327794:JEZ327794 JOU327794:JOV327794 JYQ327794:JYR327794 KIM327794:KIN327794 KSI327794:KSJ327794 LCE327794:LCF327794 LMA327794:LMB327794 LVW327794:LVX327794 MFS327794:MFT327794 MPO327794:MPP327794 MZK327794:MZL327794 NJG327794:NJH327794 NTC327794:NTD327794 OCY327794:OCZ327794 OMU327794:OMV327794 OWQ327794:OWR327794 PGM327794:PGN327794 PQI327794:PQJ327794 QAE327794:QAF327794 QKA327794:QKB327794 QTW327794:QTX327794 RDS327794:RDT327794 RNO327794:RNP327794 RXK327794:RXL327794 SHG327794:SHH327794 SRC327794:SRD327794 TAY327794:TAZ327794 TKU327794:TKV327794 TUQ327794:TUR327794 UEM327794:UEN327794 UOI327794:UOJ327794 UYE327794:UYF327794 VIA327794:VIB327794 VRW327794:VRX327794 WBS327794:WBT327794 WLO327794:WLP327794 WVK327794:WVL327794 C393330:D393330 IY393330:IZ393330 SU393330:SV393330 ACQ393330:ACR393330 AMM393330:AMN393330 AWI393330:AWJ393330 BGE393330:BGF393330 BQA393330:BQB393330 BZW393330:BZX393330 CJS393330:CJT393330 CTO393330:CTP393330 DDK393330:DDL393330 DNG393330:DNH393330 DXC393330:DXD393330 EGY393330:EGZ393330 EQU393330:EQV393330 FAQ393330:FAR393330 FKM393330:FKN393330 FUI393330:FUJ393330 GEE393330:GEF393330 GOA393330:GOB393330 GXW393330:GXX393330 HHS393330:HHT393330 HRO393330:HRP393330 IBK393330:IBL393330 ILG393330:ILH393330 IVC393330:IVD393330 JEY393330:JEZ393330 JOU393330:JOV393330 JYQ393330:JYR393330 KIM393330:KIN393330 KSI393330:KSJ393330 LCE393330:LCF393330 LMA393330:LMB393330 LVW393330:LVX393330 MFS393330:MFT393330 MPO393330:MPP393330 MZK393330:MZL393330 NJG393330:NJH393330 NTC393330:NTD393330 OCY393330:OCZ393330 OMU393330:OMV393330 OWQ393330:OWR393330 PGM393330:PGN393330 PQI393330:PQJ393330 QAE393330:QAF393330 QKA393330:QKB393330 QTW393330:QTX393330 RDS393330:RDT393330 RNO393330:RNP393330 RXK393330:RXL393330 SHG393330:SHH393330 SRC393330:SRD393330 TAY393330:TAZ393330 TKU393330:TKV393330 TUQ393330:TUR393330 UEM393330:UEN393330 UOI393330:UOJ393330 UYE393330:UYF393330 VIA393330:VIB393330 VRW393330:VRX393330 WBS393330:WBT393330 WLO393330:WLP393330 WVK393330:WVL393330 C458866:D458866 IY458866:IZ458866 SU458866:SV458866 ACQ458866:ACR458866 AMM458866:AMN458866 AWI458866:AWJ458866 BGE458866:BGF458866 BQA458866:BQB458866 BZW458866:BZX458866 CJS458866:CJT458866 CTO458866:CTP458866 DDK458866:DDL458866 DNG458866:DNH458866 DXC458866:DXD458866 EGY458866:EGZ458866 EQU458866:EQV458866 FAQ458866:FAR458866 FKM458866:FKN458866 FUI458866:FUJ458866 GEE458866:GEF458866 GOA458866:GOB458866 GXW458866:GXX458866 HHS458866:HHT458866 HRO458866:HRP458866 IBK458866:IBL458866 ILG458866:ILH458866 IVC458866:IVD458866 JEY458866:JEZ458866 JOU458866:JOV458866 JYQ458866:JYR458866 KIM458866:KIN458866 KSI458866:KSJ458866 LCE458866:LCF458866 LMA458866:LMB458866 LVW458866:LVX458866 MFS458866:MFT458866 MPO458866:MPP458866 MZK458866:MZL458866 NJG458866:NJH458866 NTC458866:NTD458866 OCY458866:OCZ458866 OMU458866:OMV458866 OWQ458866:OWR458866 PGM458866:PGN458866 PQI458866:PQJ458866 QAE458866:QAF458866 QKA458866:QKB458866 QTW458866:QTX458866 RDS458866:RDT458866 RNO458866:RNP458866 RXK458866:RXL458866 SHG458866:SHH458866 SRC458866:SRD458866 TAY458866:TAZ458866 TKU458866:TKV458866 TUQ458866:TUR458866 UEM458866:UEN458866 UOI458866:UOJ458866 UYE458866:UYF458866 VIA458866:VIB458866 VRW458866:VRX458866 WBS458866:WBT458866 WLO458866:WLP458866 WVK458866:WVL458866 C524402:D524402 IY524402:IZ524402 SU524402:SV524402 ACQ524402:ACR524402 AMM524402:AMN524402 AWI524402:AWJ524402 BGE524402:BGF524402 BQA524402:BQB524402 BZW524402:BZX524402 CJS524402:CJT524402 CTO524402:CTP524402 DDK524402:DDL524402 DNG524402:DNH524402 DXC524402:DXD524402 EGY524402:EGZ524402 EQU524402:EQV524402 FAQ524402:FAR524402 FKM524402:FKN524402 FUI524402:FUJ524402 GEE524402:GEF524402 GOA524402:GOB524402 GXW524402:GXX524402 HHS524402:HHT524402 HRO524402:HRP524402 IBK524402:IBL524402 ILG524402:ILH524402 IVC524402:IVD524402 JEY524402:JEZ524402 JOU524402:JOV524402 JYQ524402:JYR524402 KIM524402:KIN524402 KSI524402:KSJ524402 LCE524402:LCF524402 LMA524402:LMB524402 LVW524402:LVX524402 MFS524402:MFT524402 MPO524402:MPP524402 MZK524402:MZL524402 NJG524402:NJH524402 NTC524402:NTD524402 OCY524402:OCZ524402 OMU524402:OMV524402 OWQ524402:OWR524402 PGM524402:PGN524402 PQI524402:PQJ524402 QAE524402:QAF524402 QKA524402:QKB524402 QTW524402:QTX524402 RDS524402:RDT524402 RNO524402:RNP524402 RXK524402:RXL524402 SHG524402:SHH524402 SRC524402:SRD524402 TAY524402:TAZ524402 TKU524402:TKV524402 TUQ524402:TUR524402 UEM524402:UEN524402 UOI524402:UOJ524402 UYE524402:UYF524402 VIA524402:VIB524402 VRW524402:VRX524402 WBS524402:WBT524402 WLO524402:WLP524402 WVK524402:WVL524402 C589938:D589938 IY589938:IZ589938 SU589938:SV589938 ACQ589938:ACR589938 AMM589938:AMN589938 AWI589938:AWJ589938 BGE589938:BGF589938 BQA589938:BQB589938 BZW589938:BZX589938 CJS589938:CJT589938 CTO589938:CTP589938 DDK589938:DDL589938 DNG589938:DNH589938 DXC589938:DXD589938 EGY589938:EGZ589938 EQU589938:EQV589938 FAQ589938:FAR589938 FKM589938:FKN589938 FUI589938:FUJ589938 GEE589938:GEF589938 GOA589938:GOB589938 GXW589938:GXX589938 HHS589938:HHT589938 HRO589938:HRP589938 IBK589938:IBL589938 ILG589938:ILH589938 IVC589938:IVD589938 JEY589938:JEZ589938 JOU589938:JOV589938 JYQ589938:JYR589938 KIM589938:KIN589938 KSI589938:KSJ589938 LCE589938:LCF589938 LMA589938:LMB589938 LVW589938:LVX589938 MFS589938:MFT589938 MPO589938:MPP589938 MZK589938:MZL589938 NJG589938:NJH589938 NTC589938:NTD589938 OCY589938:OCZ589938 OMU589938:OMV589938 OWQ589938:OWR589938 PGM589938:PGN589938 PQI589938:PQJ589938 QAE589938:QAF589938 QKA589938:QKB589938 QTW589938:QTX589938 RDS589938:RDT589938 RNO589938:RNP589938 RXK589938:RXL589938 SHG589938:SHH589938 SRC589938:SRD589938 TAY589938:TAZ589938 TKU589938:TKV589938 TUQ589938:TUR589938 UEM589938:UEN589938 UOI589938:UOJ589938 UYE589938:UYF589938 VIA589938:VIB589938 VRW589938:VRX589938 WBS589938:WBT589938 WLO589938:WLP589938 WVK589938:WVL589938 C655474:D655474 IY655474:IZ655474 SU655474:SV655474 ACQ655474:ACR655474 AMM655474:AMN655474 AWI655474:AWJ655474 BGE655474:BGF655474 BQA655474:BQB655474 BZW655474:BZX655474 CJS655474:CJT655474 CTO655474:CTP655474 DDK655474:DDL655474 DNG655474:DNH655474 DXC655474:DXD655474 EGY655474:EGZ655474 EQU655474:EQV655474 FAQ655474:FAR655474 FKM655474:FKN655474 FUI655474:FUJ655474 GEE655474:GEF655474 GOA655474:GOB655474 GXW655474:GXX655474 HHS655474:HHT655474 HRO655474:HRP655474 IBK655474:IBL655474 ILG655474:ILH655474 IVC655474:IVD655474 JEY655474:JEZ655474 JOU655474:JOV655474 JYQ655474:JYR655474 KIM655474:KIN655474 KSI655474:KSJ655474 LCE655474:LCF655474 LMA655474:LMB655474 LVW655474:LVX655474 MFS655474:MFT655474 MPO655474:MPP655474 MZK655474:MZL655474 NJG655474:NJH655474 NTC655474:NTD655474 OCY655474:OCZ655474 OMU655474:OMV655474 OWQ655474:OWR655474 PGM655474:PGN655474 PQI655474:PQJ655474 QAE655474:QAF655474 QKA655474:QKB655474 QTW655474:QTX655474 RDS655474:RDT655474 RNO655474:RNP655474 RXK655474:RXL655474 SHG655474:SHH655474 SRC655474:SRD655474 TAY655474:TAZ655474 TKU655474:TKV655474 TUQ655474:TUR655474 UEM655474:UEN655474 UOI655474:UOJ655474 UYE655474:UYF655474 VIA655474:VIB655474 VRW655474:VRX655474 WBS655474:WBT655474 WLO655474:WLP655474 WVK655474:WVL655474 C721010:D721010 IY721010:IZ721010 SU721010:SV721010 ACQ721010:ACR721010 AMM721010:AMN721010 AWI721010:AWJ721010 BGE721010:BGF721010 BQA721010:BQB721010 BZW721010:BZX721010 CJS721010:CJT721010 CTO721010:CTP721010 DDK721010:DDL721010 DNG721010:DNH721010 DXC721010:DXD721010 EGY721010:EGZ721010 EQU721010:EQV721010 FAQ721010:FAR721010 FKM721010:FKN721010 FUI721010:FUJ721010 GEE721010:GEF721010 GOA721010:GOB721010 GXW721010:GXX721010 HHS721010:HHT721010 HRO721010:HRP721010 IBK721010:IBL721010 ILG721010:ILH721010 IVC721010:IVD721010 JEY721010:JEZ721010 JOU721010:JOV721010 JYQ721010:JYR721010 KIM721010:KIN721010 KSI721010:KSJ721010 LCE721010:LCF721010 LMA721010:LMB721010 LVW721010:LVX721010 MFS721010:MFT721010 MPO721010:MPP721010 MZK721010:MZL721010 NJG721010:NJH721010 NTC721010:NTD721010 OCY721010:OCZ721010 OMU721010:OMV721010 OWQ721010:OWR721010 PGM721010:PGN721010 PQI721010:PQJ721010 QAE721010:QAF721010 QKA721010:QKB721010 QTW721010:QTX721010 RDS721010:RDT721010 RNO721010:RNP721010 RXK721010:RXL721010 SHG721010:SHH721010 SRC721010:SRD721010 TAY721010:TAZ721010 TKU721010:TKV721010 TUQ721010:TUR721010 UEM721010:UEN721010 UOI721010:UOJ721010 UYE721010:UYF721010 VIA721010:VIB721010 VRW721010:VRX721010 WBS721010:WBT721010 WLO721010:WLP721010 WVK721010:WVL721010 C786546:D786546 IY786546:IZ786546 SU786546:SV786546 ACQ786546:ACR786546 AMM786546:AMN786546 AWI786546:AWJ786546 BGE786546:BGF786546 BQA786546:BQB786546 BZW786546:BZX786546 CJS786546:CJT786546 CTO786546:CTP786546 DDK786546:DDL786546 DNG786546:DNH786546 DXC786546:DXD786546 EGY786546:EGZ786546 EQU786546:EQV786546 FAQ786546:FAR786546 FKM786546:FKN786546 FUI786546:FUJ786546 GEE786546:GEF786546 GOA786546:GOB786546 GXW786546:GXX786546 HHS786546:HHT786546 HRO786546:HRP786546 IBK786546:IBL786546 ILG786546:ILH786546 IVC786546:IVD786546 JEY786546:JEZ786546 JOU786546:JOV786546 JYQ786546:JYR786546 KIM786546:KIN786546 KSI786546:KSJ786546 LCE786546:LCF786546 LMA786546:LMB786546 LVW786546:LVX786546 MFS786546:MFT786546 MPO786546:MPP786546 MZK786546:MZL786546 NJG786546:NJH786546 NTC786546:NTD786546 OCY786546:OCZ786546 OMU786546:OMV786546 OWQ786546:OWR786546 PGM786546:PGN786546 PQI786546:PQJ786546 QAE786546:QAF786546 QKA786546:QKB786546 QTW786546:QTX786546 RDS786546:RDT786546 RNO786546:RNP786546 RXK786546:RXL786546 SHG786546:SHH786546 SRC786546:SRD786546 TAY786546:TAZ786546 TKU786546:TKV786546 TUQ786546:TUR786546 UEM786546:UEN786546 UOI786546:UOJ786546 UYE786546:UYF786546 VIA786546:VIB786546 VRW786546:VRX786546 WBS786546:WBT786546 WLO786546:WLP786546 WVK786546:WVL786546 C852082:D852082 IY852082:IZ852082 SU852082:SV852082 ACQ852082:ACR852082 AMM852082:AMN852082 AWI852082:AWJ852082 BGE852082:BGF852082 BQA852082:BQB852082 BZW852082:BZX852082 CJS852082:CJT852082 CTO852082:CTP852082 DDK852082:DDL852082 DNG852082:DNH852082 DXC852082:DXD852082 EGY852082:EGZ852082 EQU852082:EQV852082 FAQ852082:FAR852082 FKM852082:FKN852082 FUI852082:FUJ852082 GEE852082:GEF852082 GOA852082:GOB852082 GXW852082:GXX852082 HHS852082:HHT852082 HRO852082:HRP852082 IBK852082:IBL852082 ILG852082:ILH852082 IVC852082:IVD852082 JEY852082:JEZ852082 JOU852082:JOV852082 JYQ852082:JYR852082 KIM852082:KIN852082 KSI852082:KSJ852082 LCE852082:LCF852082 LMA852082:LMB852082 LVW852082:LVX852082 MFS852082:MFT852082 MPO852082:MPP852082 MZK852082:MZL852082 NJG852082:NJH852082 NTC852082:NTD852082 OCY852082:OCZ852082 OMU852082:OMV852082 OWQ852082:OWR852082 PGM852082:PGN852082 PQI852082:PQJ852082 QAE852082:QAF852082 QKA852082:QKB852082 QTW852082:QTX852082 RDS852082:RDT852082 RNO852082:RNP852082 RXK852082:RXL852082 SHG852082:SHH852082 SRC852082:SRD852082 TAY852082:TAZ852082 TKU852082:TKV852082 TUQ852082:TUR852082 UEM852082:UEN852082 UOI852082:UOJ852082 UYE852082:UYF852082 VIA852082:VIB852082 VRW852082:VRX852082 WBS852082:WBT852082 WLO852082:WLP852082 WVK852082:WVL852082 C917618:D917618 IY917618:IZ917618 SU917618:SV917618 ACQ917618:ACR917618 AMM917618:AMN917618 AWI917618:AWJ917618 BGE917618:BGF917618 BQA917618:BQB917618 BZW917618:BZX917618 CJS917618:CJT917618 CTO917618:CTP917618 DDK917618:DDL917618 DNG917618:DNH917618 DXC917618:DXD917618 EGY917618:EGZ917618 EQU917618:EQV917618 FAQ917618:FAR917618 FKM917618:FKN917618 FUI917618:FUJ917618 GEE917618:GEF917618 GOA917618:GOB917618 GXW917618:GXX917618 HHS917618:HHT917618 HRO917618:HRP917618 IBK917618:IBL917618 ILG917618:ILH917618 IVC917618:IVD917618 JEY917618:JEZ917618 JOU917618:JOV917618 JYQ917618:JYR917618 KIM917618:KIN917618 KSI917618:KSJ917618 LCE917618:LCF917618 LMA917618:LMB917618 LVW917618:LVX917618 MFS917618:MFT917618 MPO917618:MPP917618 MZK917618:MZL917618 NJG917618:NJH917618 NTC917618:NTD917618 OCY917618:OCZ917618 OMU917618:OMV917618 OWQ917618:OWR917618 PGM917618:PGN917618 PQI917618:PQJ917618 QAE917618:QAF917618 QKA917618:QKB917618 QTW917618:QTX917618 RDS917618:RDT917618 RNO917618:RNP917618 RXK917618:RXL917618 SHG917618:SHH917618 SRC917618:SRD917618 TAY917618:TAZ917618 TKU917618:TKV917618 TUQ917618:TUR917618 UEM917618:UEN917618 UOI917618:UOJ917618 UYE917618:UYF917618 VIA917618:VIB917618 VRW917618:VRX917618 WBS917618:WBT917618 WLO917618:WLP917618 WVK917618:WVL917618 C983154:D983154 IY983154:IZ983154 SU983154:SV983154 ACQ983154:ACR983154 AMM983154:AMN983154 AWI983154:AWJ983154 BGE983154:BGF983154 BQA983154:BQB983154 BZW983154:BZX983154 CJS983154:CJT983154 CTO983154:CTP983154 DDK983154:DDL983154 DNG983154:DNH983154 DXC983154:DXD983154 EGY983154:EGZ983154 EQU983154:EQV983154 FAQ983154:FAR983154 FKM983154:FKN983154 FUI983154:FUJ983154 GEE983154:GEF983154 GOA983154:GOB983154 GXW983154:GXX983154 HHS983154:HHT983154 HRO983154:HRP983154 IBK983154:IBL983154 ILG983154:ILH983154 IVC983154:IVD983154 JEY983154:JEZ983154 JOU983154:JOV983154 JYQ983154:JYR983154 KIM983154:KIN983154 KSI983154:KSJ983154 LCE983154:LCF983154 LMA983154:LMB983154 LVW983154:LVX983154 MFS983154:MFT983154 MPO983154:MPP983154 MZK983154:MZL983154 NJG983154:NJH983154 NTC983154:NTD983154 OCY983154:OCZ983154 OMU983154:OMV983154 OWQ983154:OWR983154 PGM983154:PGN983154 PQI983154:PQJ983154 QAE983154:QAF983154 QKA983154:QKB983154 QTW983154:QTX983154 RDS983154:RDT983154 RNO983154:RNP983154 RXK983154:RXL983154 SHG983154:SHH983154 SRC983154:SRD983154 TAY983154:TAZ983154 TKU983154:TKV983154 TUQ983154:TUR983154 UEM983154:UEN983154 UOI983154:UOJ983154 UYE983154:UYF983154 VIA983154:VIB983154 VRW983154:VRX983154 WBS983154:WBT983154 WLO983154:WLP983154 WVK983154:WVL983154 C130:D130 IY130:IZ130 SU130:SV130 ACQ130:ACR130 AMM130:AMN130 AWI130:AWJ130 BGE130:BGF130 BQA130:BQB130 BZW130:BZX130 CJS130:CJT130 CTO130:CTP130 DDK130:DDL130 DNG130:DNH130 DXC130:DXD130 EGY130:EGZ130 EQU130:EQV130 FAQ130:FAR130 FKM130:FKN130 FUI130:FUJ130 GEE130:GEF130 GOA130:GOB130 GXW130:GXX130 HHS130:HHT130 HRO130:HRP130 IBK130:IBL130 ILG130:ILH130 IVC130:IVD130 JEY130:JEZ130 JOU130:JOV130 JYQ130:JYR130 KIM130:KIN130 KSI130:KSJ130 LCE130:LCF130 LMA130:LMB130 LVW130:LVX130 MFS130:MFT130 MPO130:MPP130 MZK130:MZL130 NJG130:NJH130 NTC130:NTD130 OCY130:OCZ130 OMU130:OMV130 OWQ130:OWR130 PGM130:PGN130 PQI130:PQJ130 QAE130:QAF130 QKA130:QKB130 QTW130:QTX130 RDS130:RDT130 RNO130:RNP130 RXK130:RXL130 SHG130:SHH130 SRC130:SRD130 TAY130:TAZ130 TKU130:TKV130 TUQ130:TUR130 UEM130:UEN130 UOI130:UOJ130 UYE130:UYF130 VIA130:VIB130 VRW130:VRX130 WBS130:WBT130 WLO130:WLP130 WVK130:WVL130 C65666:D65666 IY65666:IZ65666 SU65666:SV65666 ACQ65666:ACR65666 AMM65666:AMN65666 AWI65666:AWJ65666 BGE65666:BGF65666 BQA65666:BQB65666 BZW65666:BZX65666 CJS65666:CJT65666 CTO65666:CTP65666 DDK65666:DDL65666 DNG65666:DNH65666 DXC65666:DXD65666 EGY65666:EGZ65666 EQU65666:EQV65666 FAQ65666:FAR65666 FKM65666:FKN65666 FUI65666:FUJ65666 GEE65666:GEF65666 GOA65666:GOB65666 GXW65666:GXX65666 HHS65666:HHT65666 HRO65666:HRP65666 IBK65666:IBL65666 ILG65666:ILH65666 IVC65666:IVD65666 JEY65666:JEZ65666 JOU65666:JOV65666 JYQ65666:JYR65666 KIM65666:KIN65666 KSI65666:KSJ65666 LCE65666:LCF65666 LMA65666:LMB65666 LVW65666:LVX65666 MFS65666:MFT65666 MPO65666:MPP65666 MZK65666:MZL65666 NJG65666:NJH65666 NTC65666:NTD65666 OCY65666:OCZ65666 OMU65666:OMV65666 OWQ65666:OWR65666 PGM65666:PGN65666 PQI65666:PQJ65666 QAE65666:QAF65666 QKA65666:QKB65666 QTW65666:QTX65666 RDS65666:RDT65666 RNO65666:RNP65666 RXK65666:RXL65666 SHG65666:SHH65666 SRC65666:SRD65666 TAY65666:TAZ65666 TKU65666:TKV65666 TUQ65666:TUR65666 UEM65666:UEN65666 UOI65666:UOJ65666 UYE65666:UYF65666 VIA65666:VIB65666 VRW65666:VRX65666 WBS65666:WBT65666 WLO65666:WLP65666 WVK65666:WVL65666 C131202:D131202 IY131202:IZ131202 SU131202:SV131202 ACQ131202:ACR131202 AMM131202:AMN131202 AWI131202:AWJ131202 BGE131202:BGF131202 BQA131202:BQB131202 BZW131202:BZX131202 CJS131202:CJT131202 CTO131202:CTP131202 DDK131202:DDL131202 DNG131202:DNH131202 DXC131202:DXD131202 EGY131202:EGZ131202 EQU131202:EQV131202 FAQ131202:FAR131202 FKM131202:FKN131202 FUI131202:FUJ131202 GEE131202:GEF131202 GOA131202:GOB131202 GXW131202:GXX131202 HHS131202:HHT131202 HRO131202:HRP131202 IBK131202:IBL131202 ILG131202:ILH131202 IVC131202:IVD131202 JEY131202:JEZ131202 JOU131202:JOV131202 JYQ131202:JYR131202 KIM131202:KIN131202 KSI131202:KSJ131202 LCE131202:LCF131202 LMA131202:LMB131202 LVW131202:LVX131202 MFS131202:MFT131202 MPO131202:MPP131202 MZK131202:MZL131202 NJG131202:NJH131202 NTC131202:NTD131202 OCY131202:OCZ131202 OMU131202:OMV131202 OWQ131202:OWR131202 PGM131202:PGN131202 PQI131202:PQJ131202 QAE131202:QAF131202 QKA131202:QKB131202 QTW131202:QTX131202 RDS131202:RDT131202 RNO131202:RNP131202 RXK131202:RXL131202 SHG131202:SHH131202 SRC131202:SRD131202 TAY131202:TAZ131202 TKU131202:TKV131202 TUQ131202:TUR131202 UEM131202:UEN131202 UOI131202:UOJ131202 UYE131202:UYF131202 VIA131202:VIB131202 VRW131202:VRX131202 WBS131202:WBT131202 WLO131202:WLP131202 WVK131202:WVL131202 C196738:D196738 IY196738:IZ196738 SU196738:SV196738 ACQ196738:ACR196738 AMM196738:AMN196738 AWI196738:AWJ196738 BGE196738:BGF196738 BQA196738:BQB196738 BZW196738:BZX196738 CJS196738:CJT196738 CTO196738:CTP196738 DDK196738:DDL196738 DNG196738:DNH196738 DXC196738:DXD196738 EGY196738:EGZ196738 EQU196738:EQV196738 FAQ196738:FAR196738 FKM196738:FKN196738 FUI196738:FUJ196738 GEE196738:GEF196738 GOA196738:GOB196738 GXW196738:GXX196738 HHS196738:HHT196738 HRO196738:HRP196738 IBK196738:IBL196738 ILG196738:ILH196738 IVC196738:IVD196738 JEY196738:JEZ196738 JOU196738:JOV196738 JYQ196738:JYR196738 KIM196738:KIN196738 KSI196738:KSJ196738 LCE196738:LCF196738 LMA196738:LMB196738 LVW196738:LVX196738 MFS196738:MFT196738 MPO196738:MPP196738 MZK196738:MZL196738 NJG196738:NJH196738 NTC196738:NTD196738 OCY196738:OCZ196738 OMU196738:OMV196738 OWQ196738:OWR196738 PGM196738:PGN196738 PQI196738:PQJ196738 QAE196738:QAF196738 QKA196738:QKB196738 QTW196738:QTX196738 RDS196738:RDT196738 RNO196738:RNP196738 RXK196738:RXL196738 SHG196738:SHH196738 SRC196738:SRD196738 TAY196738:TAZ196738 TKU196738:TKV196738 TUQ196738:TUR196738 UEM196738:UEN196738 UOI196738:UOJ196738 UYE196738:UYF196738 VIA196738:VIB196738 VRW196738:VRX196738 WBS196738:WBT196738 WLO196738:WLP196738 WVK196738:WVL196738 C262274:D262274 IY262274:IZ262274 SU262274:SV262274 ACQ262274:ACR262274 AMM262274:AMN262274 AWI262274:AWJ262274 BGE262274:BGF262274 BQA262274:BQB262274 BZW262274:BZX262274 CJS262274:CJT262274 CTO262274:CTP262274 DDK262274:DDL262274 DNG262274:DNH262274 DXC262274:DXD262274 EGY262274:EGZ262274 EQU262274:EQV262274 FAQ262274:FAR262274 FKM262274:FKN262274 FUI262274:FUJ262274 GEE262274:GEF262274 GOA262274:GOB262274 GXW262274:GXX262274 HHS262274:HHT262274 HRO262274:HRP262274 IBK262274:IBL262274 ILG262274:ILH262274 IVC262274:IVD262274 JEY262274:JEZ262274 JOU262274:JOV262274 JYQ262274:JYR262274 KIM262274:KIN262274 KSI262274:KSJ262274 LCE262274:LCF262274 LMA262274:LMB262274 LVW262274:LVX262274 MFS262274:MFT262274 MPO262274:MPP262274 MZK262274:MZL262274 NJG262274:NJH262274 NTC262274:NTD262274 OCY262274:OCZ262274 OMU262274:OMV262274 OWQ262274:OWR262274 PGM262274:PGN262274 PQI262274:PQJ262274 QAE262274:QAF262274 QKA262274:QKB262274 QTW262274:QTX262274 RDS262274:RDT262274 RNO262274:RNP262274 RXK262274:RXL262274 SHG262274:SHH262274 SRC262274:SRD262274 TAY262274:TAZ262274 TKU262274:TKV262274 TUQ262274:TUR262274 UEM262274:UEN262274 UOI262274:UOJ262274 UYE262274:UYF262274 VIA262274:VIB262274 VRW262274:VRX262274 WBS262274:WBT262274 WLO262274:WLP262274 WVK262274:WVL262274 C327810:D327810 IY327810:IZ327810 SU327810:SV327810 ACQ327810:ACR327810 AMM327810:AMN327810 AWI327810:AWJ327810 BGE327810:BGF327810 BQA327810:BQB327810 BZW327810:BZX327810 CJS327810:CJT327810 CTO327810:CTP327810 DDK327810:DDL327810 DNG327810:DNH327810 DXC327810:DXD327810 EGY327810:EGZ327810 EQU327810:EQV327810 FAQ327810:FAR327810 FKM327810:FKN327810 FUI327810:FUJ327810 GEE327810:GEF327810 GOA327810:GOB327810 GXW327810:GXX327810 HHS327810:HHT327810 HRO327810:HRP327810 IBK327810:IBL327810 ILG327810:ILH327810 IVC327810:IVD327810 JEY327810:JEZ327810 JOU327810:JOV327810 JYQ327810:JYR327810 KIM327810:KIN327810 KSI327810:KSJ327810 LCE327810:LCF327810 LMA327810:LMB327810 LVW327810:LVX327810 MFS327810:MFT327810 MPO327810:MPP327810 MZK327810:MZL327810 NJG327810:NJH327810 NTC327810:NTD327810 OCY327810:OCZ327810 OMU327810:OMV327810 OWQ327810:OWR327810 PGM327810:PGN327810 PQI327810:PQJ327810 QAE327810:QAF327810 QKA327810:QKB327810 QTW327810:QTX327810 RDS327810:RDT327810 RNO327810:RNP327810 RXK327810:RXL327810 SHG327810:SHH327810 SRC327810:SRD327810 TAY327810:TAZ327810 TKU327810:TKV327810 TUQ327810:TUR327810 UEM327810:UEN327810 UOI327810:UOJ327810 UYE327810:UYF327810 VIA327810:VIB327810 VRW327810:VRX327810 WBS327810:WBT327810 WLO327810:WLP327810 WVK327810:WVL327810 C393346:D393346 IY393346:IZ393346 SU393346:SV393346 ACQ393346:ACR393346 AMM393346:AMN393346 AWI393346:AWJ393346 BGE393346:BGF393346 BQA393346:BQB393346 BZW393346:BZX393346 CJS393346:CJT393346 CTO393346:CTP393346 DDK393346:DDL393346 DNG393346:DNH393346 DXC393346:DXD393346 EGY393346:EGZ393346 EQU393346:EQV393346 FAQ393346:FAR393346 FKM393346:FKN393346 FUI393346:FUJ393346 GEE393346:GEF393346 GOA393346:GOB393346 GXW393346:GXX393346 HHS393346:HHT393346 HRO393346:HRP393346 IBK393346:IBL393346 ILG393346:ILH393346 IVC393346:IVD393346 JEY393346:JEZ393346 JOU393346:JOV393346 JYQ393346:JYR393346 KIM393346:KIN393346 KSI393346:KSJ393346 LCE393346:LCF393346 LMA393346:LMB393346 LVW393346:LVX393346 MFS393346:MFT393346 MPO393346:MPP393346 MZK393346:MZL393346 NJG393346:NJH393346 NTC393346:NTD393346 OCY393346:OCZ393346 OMU393346:OMV393346 OWQ393346:OWR393346 PGM393346:PGN393346 PQI393346:PQJ393346 QAE393346:QAF393346 QKA393346:QKB393346 QTW393346:QTX393346 RDS393346:RDT393346 RNO393346:RNP393346 RXK393346:RXL393346 SHG393346:SHH393346 SRC393346:SRD393346 TAY393346:TAZ393346 TKU393346:TKV393346 TUQ393346:TUR393346 UEM393346:UEN393346 UOI393346:UOJ393346 UYE393346:UYF393346 VIA393346:VIB393346 VRW393346:VRX393346 WBS393346:WBT393346 WLO393346:WLP393346 WVK393346:WVL393346 C458882:D458882 IY458882:IZ458882 SU458882:SV458882 ACQ458882:ACR458882 AMM458882:AMN458882 AWI458882:AWJ458882 BGE458882:BGF458882 BQA458882:BQB458882 BZW458882:BZX458882 CJS458882:CJT458882 CTO458882:CTP458882 DDK458882:DDL458882 DNG458882:DNH458882 DXC458882:DXD458882 EGY458882:EGZ458882 EQU458882:EQV458882 FAQ458882:FAR458882 FKM458882:FKN458882 FUI458882:FUJ458882 GEE458882:GEF458882 GOA458882:GOB458882 GXW458882:GXX458882 HHS458882:HHT458882 HRO458882:HRP458882 IBK458882:IBL458882 ILG458882:ILH458882 IVC458882:IVD458882 JEY458882:JEZ458882 JOU458882:JOV458882 JYQ458882:JYR458882 KIM458882:KIN458882 KSI458882:KSJ458882 LCE458882:LCF458882 LMA458882:LMB458882 LVW458882:LVX458882 MFS458882:MFT458882 MPO458882:MPP458882 MZK458882:MZL458882 NJG458882:NJH458882 NTC458882:NTD458882 OCY458882:OCZ458882 OMU458882:OMV458882 OWQ458882:OWR458882 PGM458882:PGN458882 PQI458882:PQJ458882 QAE458882:QAF458882 QKA458882:QKB458882 QTW458882:QTX458882 RDS458882:RDT458882 RNO458882:RNP458882 RXK458882:RXL458882 SHG458882:SHH458882 SRC458882:SRD458882 TAY458882:TAZ458882 TKU458882:TKV458882 TUQ458882:TUR458882 UEM458882:UEN458882 UOI458882:UOJ458882 UYE458882:UYF458882 VIA458882:VIB458882 VRW458882:VRX458882 WBS458882:WBT458882 WLO458882:WLP458882 WVK458882:WVL458882 C524418:D524418 IY524418:IZ524418 SU524418:SV524418 ACQ524418:ACR524418 AMM524418:AMN524418 AWI524418:AWJ524418 BGE524418:BGF524418 BQA524418:BQB524418 BZW524418:BZX524418 CJS524418:CJT524418 CTO524418:CTP524418 DDK524418:DDL524418 DNG524418:DNH524418 DXC524418:DXD524418 EGY524418:EGZ524418 EQU524418:EQV524418 FAQ524418:FAR524418 FKM524418:FKN524418 FUI524418:FUJ524418 GEE524418:GEF524418 GOA524418:GOB524418 GXW524418:GXX524418 HHS524418:HHT524418 HRO524418:HRP524418 IBK524418:IBL524418 ILG524418:ILH524418 IVC524418:IVD524418 JEY524418:JEZ524418 JOU524418:JOV524418 JYQ524418:JYR524418 KIM524418:KIN524418 KSI524418:KSJ524418 LCE524418:LCF524418 LMA524418:LMB524418 LVW524418:LVX524418 MFS524418:MFT524418 MPO524418:MPP524418 MZK524418:MZL524418 NJG524418:NJH524418 NTC524418:NTD524418 OCY524418:OCZ524418 OMU524418:OMV524418 OWQ524418:OWR524418 PGM524418:PGN524418 PQI524418:PQJ524418 QAE524418:QAF524418 QKA524418:QKB524418 QTW524418:QTX524418 RDS524418:RDT524418 RNO524418:RNP524418 RXK524418:RXL524418 SHG524418:SHH524418 SRC524418:SRD524418 TAY524418:TAZ524418 TKU524418:TKV524418 TUQ524418:TUR524418 UEM524418:UEN524418 UOI524418:UOJ524418 UYE524418:UYF524418 VIA524418:VIB524418 VRW524418:VRX524418 WBS524418:WBT524418 WLO524418:WLP524418 WVK524418:WVL524418 C589954:D589954 IY589954:IZ589954 SU589954:SV589954 ACQ589954:ACR589954 AMM589954:AMN589954 AWI589954:AWJ589954 BGE589954:BGF589954 BQA589954:BQB589954 BZW589954:BZX589954 CJS589954:CJT589954 CTO589954:CTP589954 DDK589954:DDL589954 DNG589954:DNH589954 DXC589954:DXD589954 EGY589954:EGZ589954 EQU589954:EQV589954 FAQ589954:FAR589954 FKM589954:FKN589954 FUI589954:FUJ589954 GEE589954:GEF589954 GOA589954:GOB589954 GXW589954:GXX589954 HHS589954:HHT589954 HRO589954:HRP589954 IBK589954:IBL589954 ILG589954:ILH589954 IVC589954:IVD589954 JEY589954:JEZ589954 JOU589954:JOV589954 JYQ589954:JYR589954 KIM589954:KIN589954 KSI589954:KSJ589954 LCE589954:LCF589954 LMA589954:LMB589954 LVW589954:LVX589954 MFS589954:MFT589954 MPO589954:MPP589954 MZK589954:MZL589954 NJG589954:NJH589954 NTC589954:NTD589954 OCY589954:OCZ589954 OMU589954:OMV589954 OWQ589954:OWR589954 PGM589954:PGN589954 PQI589954:PQJ589954 QAE589954:QAF589954 QKA589954:QKB589954 QTW589954:QTX589954 RDS589954:RDT589954 RNO589954:RNP589954 RXK589954:RXL589954 SHG589954:SHH589954 SRC589954:SRD589954 TAY589954:TAZ589954 TKU589954:TKV589954 TUQ589954:TUR589954 UEM589954:UEN589954 UOI589954:UOJ589954 UYE589954:UYF589954 VIA589954:VIB589954 VRW589954:VRX589954 WBS589954:WBT589954 WLO589954:WLP589954 WVK589954:WVL589954 C655490:D655490 IY655490:IZ655490 SU655490:SV655490 ACQ655490:ACR655490 AMM655490:AMN655490 AWI655490:AWJ655490 BGE655490:BGF655490 BQA655490:BQB655490 BZW655490:BZX655490 CJS655490:CJT655490 CTO655490:CTP655490 DDK655490:DDL655490 DNG655490:DNH655490 DXC655490:DXD655490 EGY655490:EGZ655490 EQU655490:EQV655490 FAQ655490:FAR655490 FKM655490:FKN655490 FUI655490:FUJ655490 GEE655490:GEF655490 GOA655490:GOB655490 GXW655490:GXX655490 HHS655490:HHT655490 HRO655490:HRP655490 IBK655490:IBL655490 ILG655490:ILH655490 IVC655490:IVD655490 JEY655490:JEZ655490 JOU655490:JOV655490 JYQ655490:JYR655490 KIM655490:KIN655490 KSI655490:KSJ655490 LCE655490:LCF655490 LMA655490:LMB655490 LVW655490:LVX655490 MFS655490:MFT655490 MPO655490:MPP655490 MZK655490:MZL655490 NJG655490:NJH655490 NTC655490:NTD655490 OCY655490:OCZ655490 OMU655490:OMV655490 OWQ655490:OWR655490 PGM655490:PGN655490 PQI655490:PQJ655490 QAE655490:QAF655490 QKA655490:QKB655490 QTW655490:QTX655490 RDS655490:RDT655490 RNO655490:RNP655490 RXK655490:RXL655490 SHG655490:SHH655490 SRC655490:SRD655490 TAY655490:TAZ655490 TKU655490:TKV655490 TUQ655490:TUR655490 UEM655490:UEN655490 UOI655490:UOJ655490 UYE655490:UYF655490 VIA655490:VIB655490 VRW655490:VRX655490 WBS655490:WBT655490 WLO655490:WLP655490 WVK655490:WVL655490 C721026:D721026 IY721026:IZ721026 SU721026:SV721026 ACQ721026:ACR721026 AMM721026:AMN721026 AWI721026:AWJ721026 BGE721026:BGF721026 BQA721026:BQB721026 BZW721026:BZX721026 CJS721026:CJT721026 CTO721026:CTP721026 DDK721026:DDL721026 DNG721026:DNH721026 DXC721026:DXD721026 EGY721026:EGZ721026 EQU721026:EQV721026 FAQ721026:FAR721026 FKM721026:FKN721026 FUI721026:FUJ721026 GEE721026:GEF721026 GOA721026:GOB721026 GXW721026:GXX721026 HHS721026:HHT721026 HRO721026:HRP721026 IBK721026:IBL721026 ILG721026:ILH721026 IVC721026:IVD721026 JEY721026:JEZ721026 JOU721026:JOV721026 JYQ721026:JYR721026 KIM721026:KIN721026 KSI721026:KSJ721026 LCE721026:LCF721026 LMA721026:LMB721026 LVW721026:LVX721026 MFS721026:MFT721026 MPO721026:MPP721026 MZK721026:MZL721026 NJG721026:NJH721026 NTC721026:NTD721026 OCY721026:OCZ721026 OMU721026:OMV721026 OWQ721026:OWR721026 PGM721026:PGN721026 PQI721026:PQJ721026 QAE721026:QAF721026 QKA721026:QKB721026 QTW721026:QTX721026 RDS721026:RDT721026 RNO721026:RNP721026 RXK721026:RXL721026 SHG721026:SHH721026 SRC721026:SRD721026 TAY721026:TAZ721026 TKU721026:TKV721026 TUQ721026:TUR721026 UEM721026:UEN721026 UOI721026:UOJ721026 UYE721026:UYF721026 VIA721026:VIB721026 VRW721026:VRX721026 WBS721026:WBT721026 WLO721026:WLP721026 WVK721026:WVL721026 C786562:D786562 IY786562:IZ786562 SU786562:SV786562 ACQ786562:ACR786562 AMM786562:AMN786562 AWI786562:AWJ786562 BGE786562:BGF786562 BQA786562:BQB786562 BZW786562:BZX786562 CJS786562:CJT786562 CTO786562:CTP786562 DDK786562:DDL786562 DNG786562:DNH786562 DXC786562:DXD786562 EGY786562:EGZ786562 EQU786562:EQV786562 FAQ786562:FAR786562 FKM786562:FKN786562 FUI786562:FUJ786562 GEE786562:GEF786562 GOA786562:GOB786562 GXW786562:GXX786562 HHS786562:HHT786562 HRO786562:HRP786562 IBK786562:IBL786562 ILG786562:ILH786562 IVC786562:IVD786562 JEY786562:JEZ786562 JOU786562:JOV786562 JYQ786562:JYR786562 KIM786562:KIN786562 KSI786562:KSJ786562 LCE786562:LCF786562 LMA786562:LMB786562 LVW786562:LVX786562 MFS786562:MFT786562 MPO786562:MPP786562 MZK786562:MZL786562 NJG786562:NJH786562 NTC786562:NTD786562 OCY786562:OCZ786562 OMU786562:OMV786562 OWQ786562:OWR786562 PGM786562:PGN786562 PQI786562:PQJ786562 QAE786562:QAF786562 QKA786562:QKB786562 QTW786562:QTX786562 RDS786562:RDT786562 RNO786562:RNP786562 RXK786562:RXL786562 SHG786562:SHH786562 SRC786562:SRD786562 TAY786562:TAZ786562 TKU786562:TKV786562 TUQ786562:TUR786562 UEM786562:UEN786562 UOI786562:UOJ786562 UYE786562:UYF786562 VIA786562:VIB786562 VRW786562:VRX786562 WBS786562:WBT786562 WLO786562:WLP786562 WVK786562:WVL786562 C852098:D852098 IY852098:IZ852098 SU852098:SV852098 ACQ852098:ACR852098 AMM852098:AMN852098 AWI852098:AWJ852098 BGE852098:BGF852098 BQA852098:BQB852098 BZW852098:BZX852098 CJS852098:CJT852098 CTO852098:CTP852098 DDK852098:DDL852098 DNG852098:DNH852098 DXC852098:DXD852098 EGY852098:EGZ852098 EQU852098:EQV852098 FAQ852098:FAR852098 FKM852098:FKN852098 FUI852098:FUJ852098 GEE852098:GEF852098 GOA852098:GOB852098 GXW852098:GXX852098 HHS852098:HHT852098 HRO852098:HRP852098 IBK852098:IBL852098 ILG852098:ILH852098 IVC852098:IVD852098 JEY852098:JEZ852098 JOU852098:JOV852098 JYQ852098:JYR852098 KIM852098:KIN852098 KSI852098:KSJ852098 LCE852098:LCF852098 LMA852098:LMB852098 LVW852098:LVX852098 MFS852098:MFT852098 MPO852098:MPP852098 MZK852098:MZL852098 NJG852098:NJH852098 NTC852098:NTD852098 OCY852098:OCZ852098 OMU852098:OMV852098 OWQ852098:OWR852098 PGM852098:PGN852098 PQI852098:PQJ852098 QAE852098:QAF852098 QKA852098:QKB852098 QTW852098:QTX852098 RDS852098:RDT852098 RNO852098:RNP852098 RXK852098:RXL852098 SHG852098:SHH852098 SRC852098:SRD852098 TAY852098:TAZ852098 TKU852098:TKV852098 TUQ852098:TUR852098 UEM852098:UEN852098 UOI852098:UOJ852098 UYE852098:UYF852098 VIA852098:VIB852098 VRW852098:VRX852098 WBS852098:WBT852098 WLO852098:WLP852098 WVK852098:WVL852098 C917634:D917634 IY917634:IZ917634 SU917634:SV917634 ACQ917634:ACR917634 AMM917634:AMN917634 AWI917634:AWJ917634 BGE917634:BGF917634 BQA917634:BQB917634 BZW917634:BZX917634 CJS917634:CJT917634 CTO917634:CTP917634 DDK917634:DDL917634 DNG917634:DNH917634 DXC917634:DXD917634 EGY917634:EGZ917634 EQU917634:EQV917634 FAQ917634:FAR917634 FKM917634:FKN917634 FUI917634:FUJ917634 GEE917634:GEF917634 GOA917634:GOB917634 GXW917634:GXX917634 HHS917634:HHT917634 HRO917634:HRP917634 IBK917634:IBL917634 ILG917634:ILH917634 IVC917634:IVD917634 JEY917634:JEZ917634 JOU917634:JOV917634 JYQ917634:JYR917634 KIM917634:KIN917634 KSI917634:KSJ917634 LCE917634:LCF917634 LMA917634:LMB917634 LVW917634:LVX917634 MFS917634:MFT917634 MPO917634:MPP917634 MZK917634:MZL917634 NJG917634:NJH917634 NTC917634:NTD917634 OCY917634:OCZ917634 OMU917634:OMV917634 OWQ917634:OWR917634 PGM917634:PGN917634 PQI917634:PQJ917634 QAE917634:QAF917634 QKA917634:QKB917634 QTW917634:QTX917634 RDS917634:RDT917634 RNO917634:RNP917634 RXK917634:RXL917634 SHG917634:SHH917634 SRC917634:SRD917634 TAY917634:TAZ917634 TKU917634:TKV917634 TUQ917634:TUR917634 UEM917634:UEN917634 UOI917634:UOJ917634 UYE917634:UYF917634 VIA917634:VIB917634 VRW917634:VRX917634 WBS917634:WBT917634 WLO917634:WLP917634 WVK917634:WVL917634 C983170:D983170 IY983170:IZ983170 SU983170:SV983170 ACQ983170:ACR983170 AMM983170:AMN983170 AWI983170:AWJ983170 BGE983170:BGF983170 BQA983170:BQB983170 BZW983170:BZX983170 CJS983170:CJT983170 CTO983170:CTP983170 DDK983170:DDL983170 DNG983170:DNH983170 DXC983170:DXD983170 EGY983170:EGZ983170 EQU983170:EQV983170 FAQ983170:FAR983170 FKM983170:FKN983170 FUI983170:FUJ983170 GEE983170:GEF983170 GOA983170:GOB983170 GXW983170:GXX983170 HHS983170:HHT983170 HRO983170:HRP983170 IBK983170:IBL983170 ILG983170:ILH983170 IVC983170:IVD983170 JEY983170:JEZ983170 JOU983170:JOV983170 JYQ983170:JYR983170 KIM983170:KIN983170 KSI983170:KSJ983170 LCE983170:LCF983170 LMA983170:LMB983170 LVW983170:LVX983170 MFS983170:MFT983170 MPO983170:MPP983170 MZK983170:MZL983170 NJG983170:NJH983170 NTC983170:NTD983170 OCY983170:OCZ983170 OMU983170:OMV983170 OWQ983170:OWR983170 PGM983170:PGN983170 PQI983170:PQJ983170 QAE983170:QAF983170 QKA983170:QKB983170 QTW983170:QTX983170 RDS983170:RDT983170 RNO983170:RNP983170 RXK983170:RXL983170 SHG983170:SHH983170 SRC983170:SRD983170 TAY983170:TAZ983170 TKU983170:TKV983170 TUQ983170:TUR983170 UEM983170:UEN983170 UOI983170:UOJ983170 UYE983170:UYF983170 VIA983170:VIB983170 VRW983170:VRX983170 WBS983170:WBT983170 WLO983170:WLP983170 WVK983170:WVL983170 C146:D146 IY146:IZ146 SU146:SV146 ACQ146:ACR146 AMM146:AMN146 AWI146:AWJ146 BGE146:BGF146 BQA146:BQB146 BZW146:BZX146 CJS146:CJT146 CTO146:CTP146 DDK146:DDL146 DNG146:DNH146 DXC146:DXD146 EGY146:EGZ146 EQU146:EQV146 FAQ146:FAR146 FKM146:FKN146 FUI146:FUJ146 GEE146:GEF146 GOA146:GOB146 GXW146:GXX146 HHS146:HHT146 HRO146:HRP146 IBK146:IBL146 ILG146:ILH146 IVC146:IVD146 JEY146:JEZ146 JOU146:JOV146 JYQ146:JYR146 KIM146:KIN146 KSI146:KSJ146 LCE146:LCF146 LMA146:LMB146 LVW146:LVX146 MFS146:MFT146 MPO146:MPP146 MZK146:MZL146 NJG146:NJH146 NTC146:NTD146 OCY146:OCZ146 OMU146:OMV146 OWQ146:OWR146 PGM146:PGN146 PQI146:PQJ146 QAE146:QAF146 QKA146:QKB146 QTW146:QTX146 RDS146:RDT146 RNO146:RNP146 RXK146:RXL146 SHG146:SHH146 SRC146:SRD146 TAY146:TAZ146 TKU146:TKV146 TUQ146:TUR146 UEM146:UEN146 UOI146:UOJ146 UYE146:UYF146 VIA146:VIB146 VRW146:VRX146 WBS146:WBT146 WLO146:WLP146 WVK146:WVL146 C65682:D65682 IY65682:IZ65682 SU65682:SV65682 ACQ65682:ACR65682 AMM65682:AMN65682 AWI65682:AWJ65682 BGE65682:BGF65682 BQA65682:BQB65682 BZW65682:BZX65682 CJS65682:CJT65682 CTO65682:CTP65682 DDK65682:DDL65682 DNG65682:DNH65682 DXC65682:DXD65682 EGY65682:EGZ65682 EQU65682:EQV65682 FAQ65682:FAR65682 FKM65682:FKN65682 FUI65682:FUJ65682 GEE65682:GEF65682 GOA65682:GOB65682 GXW65682:GXX65682 HHS65682:HHT65682 HRO65682:HRP65682 IBK65682:IBL65682 ILG65682:ILH65682 IVC65682:IVD65682 JEY65682:JEZ65682 JOU65682:JOV65682 JYQ65682:JYR65682 KIM65682:KIN65682 KSI65682:KSJ65682 LCE65682:LCF65682 LMA65682:LMB65682 LVW65682:LVX65682 MFS65682:MFT65682 MPO65682:MPP65682 MZK65682:MZL65682 NJG65682:NJH65682 NTC65682:NTD65682 OCY65682:OCZ65682 OMU65682:OMV65682 OWQ65682:OWR65682 PGM65682:PGN65682 PQI65682:PQJ65682 QAE65682:QAF65682 QKA65682:QKB65682 QTW65682:QTX65682 RDS65682:RDT65682 RNO65682:RNP65682 RXK65682:RXL65682 SHG65682:SHH65682 SRC65682:SRD65682 TAY65682:TAZ65682 TKU65682:TKV65682 TUQ65682:TUR65682 UEM65682:UEN65682 UOI65682:UOJ65682 UYE65682:UYF65682 VIA65682:VIB65682 VRW65682:VRX65682 WBS65682:WBT65682 WLO65682:WLP65682 WVK65682:WVL65682 C131218:D131218 IY131218:IZ131218 SU131218:SV131218 ACQ131218:ACR131218 AMM131218:AMN131218 AWI131218:AWJ131218 BGE131218:BGF131218 BQA131218:BQB131218 BZW131218:BZX131218 CJS131218:CJT131218 CTO131218:CTP131218 DDK131218:DDL131218 DNG131218:DNH131218 DXC131218:DXD131218 EGY131218:EGZ131218 EQU131218:EQV131218 FAQ131218:FAR131218 FKM131218:FKN131218 FUI131218:FUJ131218 GEE131218:GEF131218 GOA131218:GOB131218 GXW131218:GXX131218 HHS131218:HHT131218 HRO131218:HRP131218 IBK131218:IBL131218 ILG131218:ILH131218 IVC131218:IVD131218 JEY131218:JEZ131218 JOU131218:JOV131218 JYQ131218:JYR131218 KIM131218:KIN131218 KSI131218:KSJ131218 LCE131218:LCF131218 LMA131218:LMB131218 LVW131218:LVX131218 MFS131218:MFT131218 MPO131218:MPP131218 MZK131218:MZL131218 NJG131218:NJH131218 NTC131218:NTD131218 OCY131218:OCZ131218 OMU131218:OMV131218 OWQ131218:OWR131218 PGM131218:PGN131218 PQI131218:PQJ131218 QAE131218:QAF131218 QKA131218:QKB131218 QTW131218:QTX131218 RDS131218:RDT131218 RNO131218:RNP131218 RXK131218:RXL131218 SHG131218:SHH131218 SRC131218:SRD131218 TAY131218:TAZ131218 TKU131218:TKV131218 TUQ131218:TUR131218 UEM131218:UEN131218 UOI131218:UOJ131218 UYE131218:UYF131218 VIA131218:VIB131218 VRW131218:VRX131218 WBS131218:WBT131218 WLO131218:WLP131218 WVK131218:WVL131218 C196754:D196754 IY196754:IZ196754 SU196754:SV196754 ACQ196754:ACR196754 AMM196754:AMN196754 AWI196754:AWJ196754 BGE196754:BGF196754 BQA196754:BQB196754 BZW196754:BZX196754 CJS196754:CJT196754 CTO196754:CTP196754 DDK196754:DDL196754 DNG196754:DNH196754 DXC196754:DXD196754 EGY196754:EGZ196754 EQU196754:EQV196754 FAQ196754:FAR196754 FKM196754:FKN196754 FUI196754:FUJ196754 GEE196754:GEF196754 GOA196754:GOB196754 GXW196754:GXX196754 HHS196754:HHT196754 HRO196754:HRP196754 IBK196754:IBL196754 ILG196754:ILH196754 IVC196754:IVD196754 JEY196754:JEZ196754 JOU196754:JOV196754 JYQ196754:JYR196754 KIM196754:KIN196754 KSI196754:KSJ196754 LCE196754:LCF196754 LMA196754:LMB196754 LVW196754:LVX196754 MFS196754:MFT196754 MPO196754:MPP196754 MZK196754:MZL196754 NJG196754:NJH196754 NTC196754:NTD196754 OCY196754:OCZ196754 OMU196754:OMV196754 OWQ196754:OWR196754 PGM196754:PGN196754 PQI196754:PQJ196754 QAE196754:QAF196754 QKA196754:QKB196754 QTW196754:QTX196754 RDS196754:RDT196754 RNO196754:RNP196754 RXK196754:RXL196754 SHG196754:SHH196754 SRC196754:SRD196754 TAY196754:TAZ196754 TKU196754:TKV196754 TUQ196754:TUR196754 UEM196754:UEN196754 UOI196754:UOJ196754 UYE196754:UYF196754 VIA196754:VIB196754 VRW196754:VRX196754 WBS196754:WBT196754 WLO196754:WLP196754 WVK196754:WVL196754 C262290:D262290 IY262290:IZ262290 SU262290:SV262290 ACQ262290:ACR262290 AMM262290:AMN262290 AWI262290:AWJ262290 BGE262290:BGF262290 BQA262290:BQB262290 BZW262290:BZX262290 CJS262290:CJT262290 CTO262290:CTP262290 DDK262290:DDL262290 DNG262290:DNH262290 DXC262290:DXD262290 EGY262290:EGZ262290 EQU262290:EQV262290 FAQ262290:FAR262290 FKM262290:FKN262290 FUI262290:FUJ262290 GEE262290:GEF262290 GOA262290:GOB262290 GXW262290:GXX262290 HHS262290:HHT262290 HRO262290:HRP262290 IBK262290:IBL262290 ILG262290:ILH262290 IVC262290:IVD262290 JEY262290:JEZ262290 JOU262290:JOV262290 JYQ262290:JYR262290 KIM262290:KIN262290 KSI262290:KSJ262290 LCE262290:LCF262290 LMA262290:LMB262290 LVW262290:LVX262290 MFS262290:MFT262290 MPO262290:MPP262290 MZK262290:MZL262290 NJG262290:NJH262290 NTC262290:NTD262290 OCY262290:OCZ262290 OMU262290:OMV262290 OWQ262290:OWR262290 PGM262290:PGN262290 PQI262290:PQJ262290 QAE262290:QAF262290 QKA262290:QKB262290 QTW262290:QTX262290 RDS262290:RDT262290 RNO262290:RNP262290 RXK262290:RXL262290 SHG262290:SHH262290 SRC262290:SRD262290 TAY262290:TAZ262290 TKU262290:TKV262290 TUQ262290:TUR262290 UEM262290:UEN262290 UOI262290:UOJ262290 UYE262290:UYF262290 VIA262290:VIB262290 VRW262290:VRX262290 WBS262290:WBT262290 WLO262290:WLP262290 WVK262290:WVL262290 C327826:D327826 IY327826:IZ327826 SU327826:SV327826 ACQ327826:ACR327826 AMM327826:AMN327826 AWI327826:AWJ327826 BGE327826:BGF327826 BQA327826:BQB327826 BZW327826:BZX327826 CJS327826:CJT327826 CTO327826:CTP327826 DDK327826:DDL327826 DNG327826:DNH327826 DXC327826:DXD327826 EGY327826:EGZ327826 EQU327826:EQV327826 FAQ327826:FAR327826 FKM327826:FKN327826 FUI327826:FUJ327826 GEE327826:GEF327826 GOA327826:GOB327826 GXW327826:GXX327826 HHS327826:HHT327826 HRO327826:HRP327826 IBK327826:IBL327826 ILG327826:ILH327826 IVC327826:IVD327826 JEY327826:JEZ327826 JOU327826:JOV327826 JYQ327826:JYR327826 KIM327826:KIN327826 KSI327826:KSJ327826 LCE327826:LCF327826 LMA327826:LMB327826 LVW327826:LVX327826 MFS327826:MFT327826 MPO327826:MPP327826 MZK327826:MZL327826 NJG327826:NJH327826 NTC327826:NTD327826 OCY327826:OCZ327826 OMU327826:OMV327826 OWQ327826:OWR327826 PGM327826:PGN327826 PQI327826:PQJ327826 QAE327826:QAF327826 QKA327826:QKB327826 QTW327826:QTX327826 RDS327826:RDT327826 RNO327826:RNP327826 RXK327826:RXL327826 SHG327826:SHH327826 SRC327826:SRD327826 TAY327826:TAZ327826 TKU327826:TKV327826 TUQ327826:TUR327826 UEM327826:UEN327826 UOI327826:UOJ327826 UYE327826:UYF327826 VIA327826:VIB327826 VRW327826:VRX327826 WBS327826:WBT327826 WLO327826:WLP327826 WVK327826:WVL327826 C393362:D393362 IY393362:IZ393362 SU393362:SV393362 ACQ393362:ACR393362 AMM393362:AMN393362 AWI393362:AWJ393362 BGE393362:BGF393362 BQA393362:BQB393362 BZW393362:BZX393362 CJS393362:CJT393362 CTO393362:CTP393362 DDK393362:DDL393362 DNG393362:DNH393362 DXC393362:DXD393362 EGY393362:EGZ393362 EQU393362:EQV393362 FAQ393362:FAR393362 FKM393362:FKN393362 FUI393362:FUJ393362 GEE393362:GEF393362 GOA393362:GOB393362 GXW393362:GXX393362 HHS393362:HHT393362 HRO393362:HRP393362 IBK393362:IBL393362 ILG393362:ILH393362 IVC393362:IVD393362 JEY393362:JEZ393362 JOU393362:JOV393362 JYQ393362:JYR393362 KIM393362:KIN393362 KSI393362:KSJ393362 LCE393362:LCF393362 LMA393362:LMB393362 LVW393362:LVX393362 MFS393362:MFT393362 MPO393362:MPP393362 MZK393362:MZL393362 NJG393362:NJH393362 NTC393362:NTD393362 OCY393362:OCZ393362 OMU393362:OMV393362 OWQ393362:OWR393362 PGM393362:PGN393362 PQI393362:PQJ393362 QAE393362:QAF393362 QKA393362:QKB393362 QTW393362:QTX393362 RDS393362:RDT393362 RNO393362:RNP393362 RXK393362:RXL393362 SHG393362:SHH393362 SRC393362:SRD393362 TAY393362:TAZ393362 TKU393362:TKV393362 TUQ393362:TUR393362 UEM393362:UEN393362 UOI393362:UOJ393362 UYE393362:UYF393362 VIA393362:VIB393362 VRW393362:VRX393362 WBS393362:WBT393362 WLO393362:WLP393362 WVK393362:WVL393362 C458898:D458898 IY458898:IZ458898 SU458898:SV458898 ACQ458898:ACR458898 AMM458898:AMN458898 AWI458898:AWJ458898 BGE458898:BGF458898 BQA458898:BQB458898 BZW458898:BZX458898 CJS458898:CJT458898 CTO458898:CTP458898 DDK458898:DDL458898 DNG458898:DNH458898 DXC458898:DXD458898 EGY458898:EGZ458898 EQU458898:EQV458898 FAQ458898:FAR458898 FKM458898:FKN458898 FUI458898:FUJ458898 GEE458898:GEF458898 GOA458898:GOB458898 GXW458898:GXX458898 HHS458898:HHT458898 HRO458898:HRP458898 IBK458898:IBL458898 ILG458898:ILH458898 IVC458898:IVD458898 JEY458898:JEZ458898 JOU458898:JOV458898 JYQ458898:JYR458898 KIM458898:KIN458898 KSI458898:KSJ458898 LCE458898:LCF458898 LMA458898:LMB458898 LVW458898:LVX458898 MFS458898:MFT458898 MPO458898:MPP458898 MZK458898:MZL458898 NJG458898:NJH458898 NTC458898:NTD458898 OCY458898:OCZ458898 OMU458898:OMV458898 OWQ458898:OWR458898 PGM458898:PGN458898 PQI458898:PQJ458898 QAE458898:QAF458898 QKA458898:QKB458898 QTW458898:QTX458898 RDS458898:RDT458898 RNO458898:RNP458898 RXK458898:RXL458898 SHG458898:SHH458898 SRC458898:SRD458898 TAY458898:TAZ458898 TKU458898:TKV458898 TUQ458898:TUR458898 UEM458898:UEN458898 UOI458898:UOJ458898 UYE458898:UYF458898 VIA458898:VIB458898 VRW458898:VRX458898 WBS458898:WBT458898 WLO458898:WLP458898 WVK458898:WVL458898 C524434:D524434 IY524434:IZ524434 SU524434:SV524434 ACQ524434:ACR524434 AMM524434:AMN524434 AWI524434:AWJ524434 BGE524434:BGF524434 BQA524434:BQB524434 BZW524434:BZX524434 CJS524434:CJT524434 CTO524434:CTP524434 DDK524434:DDL524434 DNG524434:DNH524434 DXC524434:DXD524434 EGY524434:EGZ524434 EQU524434:EQV524434 FAQ524434:FAR524434 FKM524434:FKN524434 FUI524434:FUJ524434 GEE524434:GEF524434 GOA524434:GOB524434 GXW524434:GXX524434 HHS524434:HHT524434 HRO524434:HRP524434 IBK524434:IBL524434 ILG524434:ILH524434 IVC524434:IVD524434 JEY524434:JEZ524434 JOU524434:JOV524434 JYQ524434:JYR524434 KIM524434:KIN524434 KSI524434:KSJ524434 LCE524434:LCF524434 LMA524434:LMB524434 LVW524434:LVX524434 MFS524434:MFT524434 MPO524434:MPP524434 MZK524434:MZL524434 NJG524434:NJH524434 NTC524434:NTD524434 OCY524434:OCZ524434 OMU524434:OMV524434 OWQ524434:OWR524434 PGM524434:PGN524434 PQI524434:PQJ524434 QAE524434:QAF524434 QKA524434:QKB524434 QTW524434:QTX524434 RDS524434:RDT524434 RNO524434:RNP524434 RXK524434:RXL524434 SHG524434:SHH524434 SRC524434:SRD524434 TAY524434:TAZ524434 TKU524434:TKV524434 TUQ524434:TUR524434 UEM524434:UEN524434 UOI524434:UOJ524434 UYE524434:UYF524434 VIA524434:VIB524434 VRW524434:VRX524434 WBS524434:WBT524434 WLO524434:WLP524434 WVK524434:WVL524434 C589970:D589970 IY589970:IZ589970 SU589970:SV589970 ACQ589970:ACR589970 AMM589970:AMN589970 AWI589970:AWJ589970 BGE589970:BGF589970 BQA589970:BQB589970 BZW589970:BZX589970 CJS589970:CJT589970 CTO589970:CTP589970 DDK589970:DDL589970 DNG589970:DNH589970 DXC589970:DXD589970 EGY589970:EGZ589970 EQU589970:EQV589970 FAQ589970:FAR589970 FKM589970:FKN589970 FUI589970:FUJ589970 GEE589970:GEF589970 GOA589970:GOB589970 GXW589970:GXX589970 HHS589970:HHT589970 HRO589970:HRP589970 IBK589970:IBL589970 ILG589970:ILH589970 IVC589970:IVD589970 JEY589970:JEZ589970 JOU589970:JOV589970 JYQ589970:JYR589970 KIM589970:KIN589970 KSI589970:KSJ589970 LCE589970:LCF589970 LMA589970:LMB589970 LVW589970:LVX589970 MFS589970:MFT589970 MPO589970:MPP589970 MZK589970:MZL589970 NJG589970:NJH589970 NTC589970:NTD589970 OCY589970:OCZ589970 OMU589970:OMV589970 OWQ589970:OWR589970 PGM589970:PGN589970 PQI589970:PQJ589970 QAE589970:QAF589970 QKA589970:QKB589970 QTW589970:QTX589970 RDS589970:RDT589970 RNO589970:RNP589970 RXK589970:RXL589970 SHG589970:SHH589970 SRC589970:SRD589970 TAY589970:TAZ589970 TKU589970:TKV589970 TUQ589970:TUR589970 UEM589970:UEN589970 UOI589970:UOJ589970 UYE589970:UYF589970 VIA589970:VIB589970 VRW589970:VRX589970 WBS589970:WBT589970 WLO589970:WLP589970 WVK589970:WVL589970 C655506:D655506 IY655506:IZ655506 SU655506:SV655506 ACQ655506:ACR655506 AMM655506:AMN655506 AWI655506:AWJ655506 BGE655506:BGF655506 BQA655506:BQB655506 BZW655506:BZX655506 CJS655506:CJT655506 CTO655506:CTP655506 DDK655506:DDL655506 DNG655506:DNH655506 DXC655506:DXD655506 EGY655506:EGZ655506 EQU655506:EQV655506 FAQ655506:FAR655506 FKM655506:FKN655506 FUI655506:FUJ655506 GEE655506:GEF655506 GOA655506:GOB655506 GXW655506:GXX655506 HHS655506:HHT655506 HRO655506:HRP655506 IBK655506:IBL655506 ILG655506:ILH655506 IVC655506:IVD655506 JEY655506:JEZ655506 JOU655506:JOV655506 JYQ655506:JYR655506 KIM655506:KIN655506 KSI655506:KSJ655506 LCE655506:LCF655506 LMA655506:LMB655506 LVW655506:LVX655506 MFS655506:MFT655506 MPO655506:MPP655506 MZK655506:MZL655506 NJG655506:NJH655506 NTC655506:NTD655506 OCY655506:OCZ655506 OMU655506:OMV655506 OWQ655506:OWR655506 PGM655506:PGN655506 PQI655506:PQJ655506 QAE655506:QAF655506 QKA655506:QKB655506 QTW655506:QTX655506 RDS655506:RDT655506 RNO655506:RNP655506 RXK655506:RXL655506 SHG655506:SHH655506 SRC655506:SRD655506 TAY655506:TAZ655506 TKU655506:TKV655506 TUQ655506:TUR655506 UEM655506:UEN655506 UOI655506:UOJ655506 UYE655506:UYF655506 VIA655506:VIB655506 VRW655506:VRX655506 WBS655506:WBT655506 WLO655506:WLP655506 WVK655506:WVL655506 C721042:D721042 IY721042:IZ721042 SU721042:SV721042 ACQ721042:ACR721042 AMM721042:AMN721042 AWI721042:AWJ721042 BGE721042:BGF721042 BQA721042:BQB721042 BZW721042:BZX721042 CJS721042:CJT721042 CTO721042:CTP721042 DDK721042:DDL721042 DNG721042:DNH721042 DXC721042:DXD721042 EGY721042:EGZ721042 EQU721042:EQV721042 FAQ721042:FAR721042 FKM721042:FKN721042 FUI721042:FUJ721042 GEE721042:GEF721042 GOA721042:GOB721042 GXW721042:GXX721042 HHS721042:HHT721042 HRO721042:HRP721042 IBK721042:IBL721042 ILG721042:ILH721042 IVC721042:IVD721042 JEY721042:JEZ721042 JOU721042:JOV721042 JYQ721042:JYR721042 KIM721042:KIN721042 KSI721042:KSJ721042 LCE721042:LCF721042 LMA721042:LMB721042 LVW721042:LVX721042 MFS721042:MFT721042 MPO721042:MPP721042 MZK721042:MZL721042 NJG721042:NJH721042 NTC721042:NTD721042 OCY721042:OCZ721042 OMU721042:OMV721042 OWQ721042:OWR721042 PGM721042:PGN721042 PQI721042:PQJ721042 QAE721042:QAF721042 QKA721042:QKB721042 QTW721042:QTX721042 RDS721042:RDT721042 RNO721042:RNP721042 RXK721042:RXL721042 SHG721042:SHH721042 SRC721042:SRD721042 TAY721042:TAZ721042 TKU721042:TKV721042 TUQ721042:TUR721042 UEM721042:UEN721042 UOI721042:UOJ721042 UYE721042:UYF721042 VIA721042:VIB721042 VRW721042:VRX721042 WBS721042:WBT721042 WLO721042:WLP721042 WVK721042:WVL721042 C786578:D786578 IY786578:IZ786578 SU786578:SV786578 ACQ786578:ACR786578 AMM786578:AMN786578 AWI786578:AWJ786578 BGE786578:BGF786578 BQA786578:BQB786578 BZW786578:BZX786578 CJS786578:CJT786578 CTO786578:CTP786578 DDK786578:DDL786578 DNG786578:DNH786578 DXC786578:DXD786578 EGY786578:EGZ786578 EQU786578:EQV786578 FAQ786578:FAR786578 FKM786578:FKN786578 FUI786578:FUJ786578 GEE786578:GEF786578 GOA786578:GOB786578 GXW786578:GXX786578 HHS786578:HHT786578 HRO786578:HRP786578 IBK786578:IBL786578 ILG786578:ILH786578 IVC786578:IVD786578 JEY786578:JEZ786578 JOU786578:JOV786578 JYQ786578:JYR786578 KIM786578:KIN786578 KSI786578:KSJ786578 LCE786578:LCF786578 LMA786578:LMB786578 LVW786578:LVX786578 MFS786578:MFT786578 MPO786578:MPP786578 MZK786578:MZL786578 NJG786578:NJH786578 NTC786578:NTD786578 OCY786578:OCZ786578 OMU786578:OMV786578 OWQ786578:OWR786578 PGM786578:PGN786578 PQI786578:PQJ786578 QAE786578:QAF786578 QKA786578:QKB786578 QTW786578:QTX786578 RDS786578:RDT786578 RNO786578:RNP786578 RXK786578:RXL786578 SHG786578:SHH786578 SRC786578:SRD786578 TAY786578:TAZ786578 TKU786578:TKV786578 TUQ786578:TUR786578 UEM786578:UEN786578 UOI786578:UOJ786578 UYE786578:UYF786578 VIA786578:VIB786578 VRW786578:VRX786578 WBS786578:WBT786578 WLO786578:WLP786578 WVK786578:WVL786578 C852114:D852114 IY852114:IZ852114 SU852114:SV852114 ACQ852114:ACR852114 AMM852114:AMN852114 AWI852114:AWJ852114 BGE852114:BGF852114 BQA852114:BQB852114 BZW852114:BZX852114 CJS852114:CJT852114 CTO852114:CTP852114 DDK852114:DDL852114 DNG852114:DNH852114 DXC852114:DXD852114 EGY852114:EGZ852114 EQU852114:EQV852114 FAQ852114:FAR852114 FKM852114:FKN852114 FUI852114:FUJ852114 GEE852114:GEF852114 GOA852114:GOB852114 GXW852114:GXX852114 HHS852114:HHT852114 HRO852114:HRP852114 IBK852114:IBL852114 ILG852114:ILH852114 IVC852114:IVD852114 JEY852114:JEZ852114 JOU852114:JOV852114 JYQ852114:JYR852114 KIM852114:KIN852114 KSI852114:KSJ852114 LCE852114:LCF852114 LMA852114:LMB852114 LVW852114:LVX852114 MFS852114:MFT852114 MPO852114:MPP852114 MZK852114:MZL852114 NJG852114:NJH852114 NTC852114:NTD852114 OCY852114:OCZ852114 OMU852114:OMV852114 OWQ852114:OWR852114 PGM852114:PGN852114 PQI852114:PQJ852114 QAE852114:QAF852114 QKA852114:QKB852114 QTW852114:QTX852114 RDS852114:RDT852114 RNO852114:RNP852114 RXK852114:RXL852114 SHG852114:SHH852114 SRC852114:SRD852114 TAY852114:TAZ852114 TKU852114:TKV852114 TUQ852114:TUR852114 UEM852114:UEN852114 UOI852114:UOJ852114 UYE852114:UYF852114 VIA852114:VIB852114 VRW852114:VRX852114 WBS852114:WBT852114 WLO852114:WLP852114 WVK852114:WVL852114 C917650:D917650 IY917650:IZ917650 SU917650:SV917650 ACQ917650:ACR917650 AMM917650:AMN917650 AWI917650:AWJ917650 BGE917650:BGF917650 BQA917650:BQB917650 BZW917650:BZX917650 CJS917650:CJT917650 CTO917650:CTP917650 DDK917650:DDL917650 DNG917650:DNH917650 DXC917650:DXD917650 EGY917650:EGZ917650 EQU917650:EQV917650 FAQ917650:FAR917650 FKM917650:FKN917650 FUI917650:FUJ917650 GEE917650:GEF917650 GOA917650:GOB917650 GXW917650:GXX917650 HHS917650:HHT917650 HRO917650:HRP917650 IBK917650:IBL917650 ILG917650:ILH917650 IVC917650:IVD917650 JEY917650:JEZ917650 JOU917650:JOV917650 JYQ917650:JYR917650 KIM917650:KIN917650 KSI917650:KSJ917650 LCE917650:LCF917650 LMA917650:LMB917650 LVW917650:LVX917650 MFS917650:MFT917650 MPO917650:MPP917650 MZK917650:MZL917650 NJG917650:NJH917650 NTC917650:NTD917650 OCY917650:OCZ917650 OMU917650:OMV917650 OWQ917650:OWR917650 PGM917650:PGN917650 PQI917650:PQJ917650 QAE917650:QAF917650 QKA917650:QKB917650 QTW917650:QTX917650 RDS917650:RDT917650 RNO917650:RNP917650 RXK917650:RXL917650 SHG917650:SHH917650 SRC917650:SRD917650 TAY917650:TAZ917650 TKU917650:TKV917650 TUQ917650:TUR917650 UEM917650:UEN917650 UOI917650:UOJ917650 UYE917650:UYF917650 VIA917650:VIB917650 VRW917650:VRX917650 WBS917650:WBT917650 WLO917650:WLP917650 WVK917650:WVL917650 C983186:D983186 IY983186:IZ983186 SU983186:SV983186 ACQ983186:ACR983186 AMM983186:AMN983186 AWI983186:AWJ983186 BGE983186:BGF983186 BQA983186:BQB983186 BZW983186:BZX983186 CJS983186:CJT983186 CTO983186:CTP983186 DDK983186:DDL983186 DNG983186:DNH983186 DXC983186:DXD983186 EGY983186:EGZ983186 EQU983186:EQV983186 FAQ983186:FAR983186 FKM983186:FKN983186 FUI983186:FUJ983186 GEE983186:GEF983186 GOA983186:GOB983186 GXW983186:GXX983186 HHS983186:HHT983186 HRO983186:HRP983186 IBK983186:IBL983186 ILG983186:ILH983186 IVC983186:IVD983186 JEY983186:JEZ983186 JOU983186:JOV983186 JYQ983186:JYR983186 KIM983186:KIN983186 KSI983186:KSJ983186 LCE983186:LCF983186 LMA983186:LMB983186 LVW983186:LVX983186 MFS983186:MFT983186 MPO983186:MPP983186 MZK983186:MZL983186 NJG983186:NJH983186 NTC983186:NTD983186 OCY983186:OCZ983186 OMU983186:OMV983186 OWQ983186:OWR983186 PGM983186:PGN983186 PQI983186:PQJ983186 QAE983186:QAF983186 QKA983186:QKB983186 QTW983186:QTX983186 RDS983186:RDT983186 RNO983186:RNP983186 RXK983186:RXL983186 SHG983186:SHH983186 SRC983186:SRD983186 TAY983186:TAZ983186 TKU983186:TKV983186 TUQ983186:TUR983186 UEM983186:UEN983186 UOI983186:UOJ983186 UYE983186:UYF983186 VIA983186:VIB983186 VRW983186:VRX983186 WBS983186:WBT983186 WLO983186:WLP983186 WVK983186:WVL983186 C162:D162 IY162:IZ162 SU162:SV162 ACQ162:ACR162 AMM162:AMN162 AWI162:AWJ162 BGE162:BGF162 BQA162:BQB162 BZW162:BZX162 CJS162:CJT162 CTO162:CTP162 DDK162:DDL162 DNG162:DNH162 DXC162:DXD162 EGY162:EGZ162 EQU162:EQV162 FAQ162:FAR162 FKM162:FKN162 FUI162:FUJ162 GEE162:GEF162 GOA162:GOB162 GXW162:GXX162 HHS162:HHT162 HRO162:HRP162 IBK162:IBL162 ILG162:ILH162 IVC162:IVD162 JEY162:JEZ162 JOU162:JOV162 JYQ162:JYR162 KIM162:KIN162 KSI162:KSJ162 LCE162:LCF162 LMA162:LMB162 LVW162:LVX162 MFS162:MFT162 MPO162:MPP162 MZK162:MZL162 NJG162:NJH162 NTC162:NTD162 OCY162:OCZ162 OMU162:OMV162 OWQ162:OWR162 PGM162:PGN162 PQI162:PQJ162 QAE162:QAF162 QKA162:QKB162 QTW162:QTX162 RDS162:RDT162 RNO162:RNP162 RXK162:RXL162 SHG162:SHH162 SRC162:SRD162 TAY162:TAZ162 TKU162:TKV162 TUQ162:TUR162 UEM162:UEN162 UOI162:UOJ162 UYE162:UYF162 VIA162:VIB162 VRW162:VRX162 WBS162:WBT162 WLO162:WLP162 WVK162:WVL162 C65698:D65698 IY65698:IZ65698 SU65698:SV65698 ACQ65698:ACR65698 AMM65698:AMN65698 AWI65698:AWJ65698 BGE65698:BGF65698 BQA65698:BQB65698 BZW65698:BZX65698 CJS65698:CJT65698 CTO65698:CTP65698 DDK65698:DDL65698 DNG65698:DNH65698 DXC65698:DXD65698 EGY65698:EGZ65698 EQU65698:EQV65698 FAQ65698:FAR65698 FKM65698:FKN65698 FUI65698:FUJ65698 GEE65698:GEF65698 GOA65698:GOB65698 GXW65698:GXX65698 HHS65698:HHT65698 HRO65698:HRP65698 IBK65698:IBL65698 ILG65698:ILH65698 IVC65698:IVD65698 JEY65698:JEZ65698 JOU65698:JOV65698 JYQ65698:JYR65698 KIM65698:KIN65698 KSI65698:KSJ65698 LCE65698:LCF65698 LMA65698:LMB65698 LVW65698:LVX65698 MFS65698:MFT65698 MPO65698:MPP65698 MZK65698:MZL65698 NJG65698:NJH65698 NTC65698:NTD65698 OCY65698:OCZ65698 OMU65698:OMV65698 OWQ65698:OWR65698 PGM65698:PGN65698 PQI65698:PQJ65698 QAE65698:QAF65698 QKA65698:QKB65698 QTW65698:QTX65698 RDS65698:RDT65698 RNO65698:RNP65698 RXK65698:RXL65698 SHG65698:SHH65698 SRC65698:SRD65698 TAY65698:TAZ65698 TKU65698:TKV65698 TUQ65698:TUR65698 UEM65698:UEN65698 UOI65698:UOJ65698 UYE65698:UYF65698 VIA65698:VIB65698 VRW65698:VRX65698 WBS65698:WBT65698 WLO65698:WLP65698 WVK65698:WVL65698 C131234:D131234 IY131234:IZ131234 SU131234:SV131234 ACQ131234:ACR131234 AMM131234:AMN131234 AWI131234:AWJ131234 BGE131234:BGF131234 BQA131234:BQB131234 BZW131234:BZX131234 CJS131234:CJT131234 CTO131234:CTP131234 DDK131234:DDL131234 DNG131234:DNH131234 DXC131234:DXD131234 EGY131234:EGZ131234 EQU131234:EQV131234 FAQ131234:FAR131234 FKM131234:FKN131234 FUI131234:FUJ131234 GEE131234:GEF131234 GOA131234:GOB131234 GXW131234:GXX131234 HHS131234:HHT131234 HRO131234:HRP131234 IBK131234:IBL131234 ILG131234:ILH131234 IVC131234:IVD131234 JEY131234:JEZ131234 JOU131234:JOV131234 JYQ131234:JYR131234 KIM131234:KIN131234 KSI131234:KSJ131234 LCE131234:LCF131234 LMA131234:LMB131234 LVW131234:LVX131234 MFS131234:MFT131234 MPO131234:MPP131234 MZK131234:MZL131234 NJG131234:NJH131234 NTC131234:NTD131234 OCY131234:OCZ131234 OMU131234:OMV131234 OWQ131234:OWR131234 PGM131234:PGN131234 PQI131234:PQJ131234 QAE131234:QAF131234 QKA131234:QKB131234 QTW131234:QTX131234 RDS131234:RDT131234 RNO131234:RNP131234 RXK131234:RXL131234 SHG131234:SHH131234 SRC131234:SRD131234 TAY131234:TAZ131234 TKU131234:TKV131234 TUQ131234:TUR131234 UEM131234:UEN131234 UOI131234:UOJ131234 UYE131234:UYF131234 VIA131234:VIB131234 VRW131234:VRX131234 WBS131234:WBT131234 WLO131234:WLP131234 WVK131234:WVL131234 C196770:D196770 IY196770:IZ196770 SU196770:SV196770 ACQ196770:ACR196770 AMM196770:AMN196770 AWI196770:AWJ196770 BGE196770:BGF196770 BQA196770:BQB196770 BZW196770:BZX196770 CJS196770:CJT196770 CTO196770:CTP196770 DDK196770:DDL196770 DNG196770:DNH196770 DXC196770:DXD196770 EGY196770:EGZ196770 EQU196770:EQV196770 FAQ196770:FAR196770 FKM196770:FKN196770 FUI196770:FUJ196770 GEE196770:GEF196770 GOA196770:GOB196770 GXW196770:GXX196770 HHS196770:HHT196770 HRO196770:HRP196770 IBK196770:IBL196770 ILG196770:ILH196770 IVC196770:IVD196770 JEY196770:JEZ196770 JOU196770:JOV196770 JYQ196770:JYR196770 KIM196770:KIN196770 KSI196770:KSJ196770 LCE196770:LCF196770 LMA196770:LMB196770 LVW196770:LVX196770 MFS196770:MFT196770 MPO196770:MPP196770 MZK196770:MZL196770 NJG196770:NJH196770 NTC196770:NTD196770 OCY196770:OCZ196770 OMU196770:OMV196770 OWQ196770:OWR196770 PGM196770:PGN196770 PQI196770:PQJ196770 QAE196770:QAF196770 QKA196770:QKB196770 QTW196770:QTX196770 RDS196770:RDT196770 RNO196770:RNP196770 RXK196770:RXL196770 SHG196770:SHH196770 SRC196770:SRD196770 TAY196770:TAZ196770 TKU196770:TKV196770 TUQ196770:TUR196770 UEM196770:UEN196770 UOI196770:UOJ196770 UYE196770:UYF196770 VIA196770:VIB196770 VRW196770:VRX196770 WBS196770:WBT196770 WLO196770:WLP196770 WVK196770:WVL196770 C262306:D262306 IY262306:IZ262306 SU262306:SV262306 ACQ262306:ACR262306 AMM262306:AMN262306 AWI262306:AWJ262306 BGE262306:BGF262306 BQA262306:BQB262306 BZW262306:BZX262306 CJS262306:CJT262306 CTO262306:CTP262306 DDK262306:DDL262306 DNG262306:DNH262306 DXC262306:DXD262306 EGY262306:EGZ262306 EQU262306:EQV262306 FAQ262306:FAR262306 FKM262306:FKN262306 FUI262306:FUJ262306 GEE262306:GEF262306 GOA262306:GOB262306 GXW262306:GXX262306 HHS262306:HHT262306 HRO262306:HRP262306 IBK262306:IBL262306 ILG262306:ILH262306 IVC262306:IVD262306 JEY262306:JEZ262306 JOU262306:JOV262306 JYQ262306:JYR262306 KIM262306:KIN262306 KSI262306:KSJ262306 LCE262306:LCF262306 LMA262306:LMB262306 LVW262306:LVX262306 MFS262306:MFT262306 MPO262306:MPP262306 MZK262306:MZL262306 NJG262306:NJH262306 NTC262306:NTD262306 OCY262306:OCZ262306 OMU262306:OMV262306 OWQ262306:OWR262306 PGM262306:PGN262306 PQI262306:PQJ262306 QAE262306:QAF262306 QKA262306:QKB262306 QTW262306:QTX262306 RDS262306:RDT262306 RNO262306:RNP262306 RXK262306:RXL262306 SHG262306:SHH262306 SRC262306:SRD262306 TAY262306:TAZ262306 TKU262306:TKV262306 TUQ262306:TUR262306 UEM262306:UEN262306 UOI262306:UOJ262306 UYE262306:UYF262306 VIA262306:VIB262306 VRW262306:VRX262306 WBS262306:WBT262306 WLO262306:WLP262306 WVK262306:WVL262306 C327842:D327842 IY327842:IZ327842 SU327842:SV327842 ACQ327842:ACR327842 AMM327842:AMN327842 AWI327842:AWJ327842 BGE327842:BGF327842 BQA327842:BQB327842 BZW327842:BZX327842 CJS327842:CJT327842 CTO327842:CTP327842 DDK327842:DDL327842 DNG327842:DNH327842 DXC327842:DXD327842 EGY327842:EGZ327842 EQU327842:EQV327842 FAQ327842:FAR327842 FKM327842:FKN327842 FUI327842:FUJ327842 GEE327842:GEF327842 GOA327842:GOB327842 GXW327842:GXX327842 HHS327842:HHT327842 HRO327842:HRP327842 IBK327842:IBL327842 ILG327842:ILH327842 IVC327842:IVD327842 JEY327842:JEZ327842 JOU327842:JOV327842 JYQ327842:JYR327842 KIM327842:KIN327842 KSI327842:KSJ327842 LCE327842:LCF327842 LMA327842:LMB327842 LVW327842:LVX327842 MFS327842:MFT327842 MPO327842:MPP327842 MZK327842:MZL327842 NJG327842:NJH327842 NTC327842:NTD327842 OCY327842:OCZ327842 OMU327842:OMV327842 OWQ327842:OWR327842 PGM327842:PGN327842 PQI327842:PQJ327842 QAE327842:QAF327842 QKA327842:QKB327842 QTW327842:QTX327842 RDS327842:RDT327842 RNO327842:RNP327842 RXK327842:RXL327842 SHG327842:SHH327842 SRC327842:SRD327842 TAY327842:TAZ327842 TKU327842:TKV327842 TUQ327842:TUR327842 UEM327842:UEN327842 UOI327842:UOJ327842 UYE327842:UYF327842 VIA327842:VIB327842 VRW327842:VRX327842 WBS327842:WBT327842 WLO327842:WLP327842 WVK327842:WVL327842 C393378:D393378 IY393378:IZ393378 SU393378:SV393378 ACQ393378:ACR393378 AMM393378:AMN393378 AWI393378:AWJ393378 BGE393378:BGF393378 BQA393378:BQB393378 BZW393378:BZX393378 CJS393378:CJT393378 CTO393378:CTP393378 DDK393378:DDL393378 DNG393378:DNH393378 DXC393378:DXD393378 EGY393378:EGZ393378 EQU393378:EQV393378 FAQ393378:FAR393378 FKM393378:FKN393378 FUI393378:FUJ393378 GEE393378:GEF393378 GOA393378:GOB393378 GXW393378:GXX393378 HHS393378:HHT393378 HRO393378:HRP393378 IBK393378:IBL393378 ILG393378:ILH393378 IVC393378:IVD393378 JEY393378:JEZ393378 JOU393378:JOV393378 JYQ393378:JYR393378 KIM393378:KIN393378 KSI393378:KSJ393378 LCE393378:LCF393378 LMA393378:LMB393378 LVW393378:LVX393378 MFS393378:MFT393378 MPO393378:MPP393378 MZK393378:MZL393378 NJG393378:NJH393378 NTC393378:NTD393378 OCY393378:OCZ393378 OMU393378:OMV393378 OWQ393378:OWR393378 PGM393378:PGN393378 PQI393378:PQJ393378 QAE393378:QAF393378 QKA393378:QKB393378 QTW393378:QTX393378 RDS393378:RDT393378 RNO393378:RNP393378 RXK393378:RXL393378 SHG393378:SHH393378 SRC393378:SRD393378 TAY393378:TAZ393378 TKU393378:TKV393378 TUQ393378:TUR393378 UEM393378:UEN393378 UOI393378:UOJ393378 UYE393378:UYF393378 VIA393378:VIB393378 VRW393378:VRX393378 WBS393378:WBT393378 WLO393378:WLP393378 WVK393378:WVL393378 C458914:D458914 IY458914:IZ458914 SU458914:SV458914 ACQ458914:ACR458914 AMM458914:AMN458914 AWI458914:AWJ458914 BGE458914:BGF458914 BQA458914:BQB458914 BZW458914:BZX458914 CJS458914:CJT458914 CTO458914:CTP458914 DDK458914:DDL458914 DNG458914:DNH458914 DXC458914:DXD458914 EGY458914:EGZ458914 EQU458914:EQV458914 FAQ458914:FAR458914 FKM458914:FKN458914 FUI458914:FUJ458914 GEE458914:GEF458914 GOA458914:GOB458914 GXW458914:GXX458914 HHS458914:HHT458914 HRO458914:HRP458914 IBK458914:IBL458914 ILG458914:ILH458914 IVC458914:IVD458914 JEY458914:JEZ458914 JOU458914:JOV458914 JYQ458914:JYR458914 KIM458914:KIN458914 KSI458914:KSJ458914 LCE458914:LCF458914 LMA458914:LMB458914 LVW458914:LVX458914 MFS458914:MFT458914 MPO458914:MPP458914 MZK458914:MZL458914 NJG458914:NJH458914 NTC458914:NTD458914 OCY458914:OCZ458914 OMU458914:OMV458914 OWQ458914:OWR458914 PGM458914:PGN458914 PQI458914:PQJ458914 QAE458914:QAF458914 QKA458914:QKB458914 QTW458914:QTX458914 RDS458914:RDT458914 RNO458914:RNP458914 RXK458914:RXL458914 SHG458914:SHH458914 SRC458914:SRD458914 TAY458914:TAZ458914 TKU458914:TKV458914 TUQ458914:TUR458914 UEM458914:UEN458914 UOI458914:UOJ458914 UYE458914:UYF458914 VIA458914:VIB458914 VRW458914:VRX458914 WBS458914:WBT458914 WLO458914:WLP458914 WVK458914:WVL458914 C524450:D524450 IY524450:IZ524450 SU524450:SV524450 ACQ524450:ACR524450 AMM524450:AMN524450 AWI524450:AWJ524450 BGE524450:BGF524450 BQA524450:BQB524450 BZW524450:BZX524450 CJS524450:CJT524450 CTO524450:CTP524450 DDK524450:DDL524450 DNG524450:DNH524450 DXC524450:DXD524450 EGY524450:EGZ524450 EQU524450:EQV524450 FAQ524450:FAR524450 FKM524450:FKN524450 FUI524450:FUJ524450 GEE524450:GEF524450 GOA524450:GOB524450 GXW524450:GXX524450 HHS524450:HHT524450 HRO524450:HRP524450 IBK524450:IBL524450 ILG524450:ILH524450 IVC524450:IVD524450 JEY524450:JEZ524450 JOU524450:JOV524450 JYQ524450:JYR524450 KIM524450:KIN524450 KSI524450:KSJ524450 LCE524450:LCF524450 LMA524450:LMB524450 LVW524450:LVX524450 MFS524450:MFT524450 MPO524450:MPP524450 MZK524450:MZL524450 NJG524450:NJH524450 NTC524450:NTD524450 OCY524450:OCZ524450 OMU524450:OMV524450 OWQ524450:OWR524450 PGM524450:PGN524450 PQI524450:PQJ524450 QAE524450:QAF524450 QKA524450:QKB524450 QTW524450:QTX524450 RDS524450:RDT524450 RNO524450:RNP524450 RXK524450:RXL524450 SHG524450:SHH524450 SRC524450:SRD524450 TAY524450:TAZ524450 TKU524450:TKV524450 TUQ524450:TUR524450 UEM524450:UEN524450 UOI524450:UOJ524450 UYE524450:UYF524450 VIA524450:VIB524450 VRW524450:VRX524450 WBS524450:WBT524450 WLO524450:WLP524450 WVK524450:WVL524450 C589986:D589986 IY589986:IZ589986 SU589986:SV589986 ACQ589986:ACR589986 AMM589986:AMN589986 AWI589986:AWJ589986 BGE589986:BGF589986 BQA589986:BQB589986 BZW589986:BZX589986 CJS589986:CJT589986 CTO589986:CTP589986 DDK589986:DDL589986 DNG589986:DNH589986 DXC589986:DXD589986 EGY589986:EGZ589986 EQU589986:EQV589986 FAQ589986:FAR589986 FKM589986:FKN589986 FUI589986:FUJ589986 GEE589986:GEF589986 GOA589986:GOB589986 GXW589986:GXX589986 HHS589986:HHT589986 HRO589986:HRP589986 IBK589986:IBL589986 ILG589986:ILH589986 IVC589986:IVD589986 JEY589986:JEZ589986 JOU589986:JOV589986 JYQ589986:JYR589986 KIM589986:KIN589986 KSI589986:KSJ589986 LCE589986:LCF589986 LMA589986:LMB589986 LVW589986:LVX589986 MFS589986:MFT589986 MPO589986:MPP589986 MZK589986:MZL589986 NJG589986:NJH589986 NTC589986:NTD589986 OCY589986:OCZ589986 OMU589986:OMV589986 OWQ589986:OWR589986 PGM589986:PGN589986 PQI589986:PQJ589986 QAE589986:QAF589986 QKA589986:QKB589986 QTW589986:QTX589986 RDS589986:RDT589986 RNO589986:RNP589986 RXK589986:RXL589986 SHG589986:SHH589986 SRC589986:SRD589986 TAY589986:TAZ589986 TKU589986:TKV589986 TUQ589986:TUR589986 UEM589986:UEN589986 UOI589986:UOJ589986 UYE589986:UYF589986 VIA589986:VIB589986 VRW589986:VRX589986 WBS589986:WBT589986 WLO589986:WLP589986 WVK589986:WVL589986 C655522:D655522 IY655522:IZ655522 SU655522:SV655522 ACQ655522:ACR655522 AMM655522:AMN655522 AWI655522:AWJ655522 BGE655522:BGF655522 BQA655522:BQB655522 BZW655522:BZX655522 CJS655522:CJT655522 CTO655522:CTP655522 DDK655522:DDL655522 DNG655522:DNH655522 DXC655522:DXD655522 EGY655522:EGZ655522 EQU655522:EQV655522 FAQ655522:FAR655522 FKM655522:FKN655522 FUI655522:FUJ655522 GEE655522:GEF655522 GOA655522:GOB655522 GXW655522:GXX655522 HHS655522:HHT655522 HRO655522:HRP655522 IBK655522:IBL655522 ILG655522:ILH655522 IVC655522:IVD655522 JEY655522:JEZ655522 JOU655522:JOV655522 JYQ655522:JYR655522 KIM655522:KIN655522 KSI655522:KSJ655522 LCE655522:LCF655522 LMA655522:LMB655522 LVW655522:LVX655522 MFS655522:MFT655522 MPO655522:MPP655522 MZK655522:MZL655522 NJG655522:NJH655522 NTC655522:NTD655522 OCY655522:OCZ655522 OMU655522:OMV655522 OWQ655522:OWR655522 PGM655522:PGN655522 PQI655522:PQJ655522 QAE655522:QAF655522 QKA655522:QKB655522 QTW655522:QTX655522 RDS655522:RDT655522 RNO655522:RNP655522 RXK655522:RXL655522 SHG655522:SHH655522 SRC655522:SRD655522 TAY655522:TAZ655522 TKU655522:TKV655522 TUQ655522:TUR655522 UEM655522:UEN655522 UOI655522:UOJ655522 UYE655522:UYF655522 VIA655522:VIB655522 VRW655522:VRX655522 WBS655522:WBT655522 WLO655522:WLP655522 WVK655522:WVL655522 C721058:D721058 IY721058:IZ721058 SU721058:SV721058 ACQ721058:ACR721058 AMM721058:AMN721058 AWI721058:AWJ721058 BGE721058:BGF721058 BQA721058:BQB721058 BZW721058:BZX721058 CJS721058:CJT721058 CTO721058:CTP721058 DDK721058:DDL721058 DNG721058:DNH721058 DXC721058:DXD721058 EGY721058:EGZ721058 EQU721058:EQV721058 FAQ721058:FAR721058 FKM721058:FKN721058 FUI721058:FUJ721058 GEE721058:GEF721058 GOA721058:GOB721058 GXW721058:GXX721058 HHS721058:HHT721058 HRO721058:HRP721058 IBK721058:IBL721058 ILG721058:ILH721058 IVC721058:IVD721058 JEY721058:JEZ721058 JOU721058:JOV721058 JYQ721058:JYR721058 KIM721058:KIN721058 KSI721058:KSJ721058 LCE721058:LCF721058 LMA721058:LMB721058 LVW721058:LVX721058 MFS721058:MFT721058 MPO721058:MPP721058 MZK721058:MZL721058 NJG721058:NJH721058 NTC721058:NTD721058 OCY721058:OCZ721058 OMU721058:OMV721058 OWQ721058:OWR721058 PGM721058:PGN721058 PQI721058:PQJ721058 QAE721058:QAF721058 QKA721058:QKB721058 QTW721058:QTX721058 RDS721058:RDT721058 RNO721058:RNP721058 RXK721058:RXL721058 SHG721058:SHH721058 SRC721058:SRD721058 TAY721058:TAZ721058 TKU721058:TKV721058 TUQ721058:TUR721058 UEM721058:UEN721058 UOI721058:UOJ721058 UYE721058:UYF721058 VIA721058:VIB721058 VRW721058:VRX721058 WBS721058:WBT721058 WLO721058:WLP721058 WVK721058:WVL721058 C786594:D786594 IY786594:IZ786594 SU786594:SV786594 ACQ786594:ACR786594 AMM786594:AMN786594 AWI786594:AWJ786594 BGE786594:BGF786594 BQA786594:BQB786594 BZW786594:BZX786594 CJS786594:CJT786594 CTO786594:CTP786594 DDK786594:DDL786594 DNG786594:DNH786594 DXC786594:DXD786594 EGY786594:EGZ786594 EQU786594:EQV786594 FAQ786594:FAR786594 FKM786594:FKN786594 FUI786594:FUJ786594 GEE786594:GEF786594 GOA786594:GOB786594 GXW786594:GXX786594 HHS786594:HHT786594 HRO786594:HRP786594 IBK786594:IBL786594 ILG786594:ILH786594 IVC786594:IVD786594 JEY786594:JEZ786594 JOU786594:JOV786594 JYQ786594:JYR786594 KIM786594:KIN786594 KSI786594:KSJ786594 LCE786594:LCF786594 LMA786594:LMB786594 LVW786594:LVX786594 MFS786594:MFT786594 MPO786594:MPP786594 MZK786594:MZL786594 NJG786594:NJH786594 NTC786594:NTD786594 OCY786594:OCZ786594 OMU786594:OMV786594 OWQ786594:OWR786594 PGM786594:PGN786594 PQI786594:PQJ786594 QAE786594:QAF786594 QKA786594:QKB786594 QTW786594:QTX786594 RDS786594:RDT786594 RNO786594:RNP786594 RXK786594:RXL786594 SHG786594:SHH786594 SRC786594:SRD786594 TAY786594:TAZ786594 TKU786594:TKV786594 TUQ786594:TUR786594 UEM786594:UEN786594 UOI786594:UOJ786594 UYE786594:UYF786594 VIA786594:VIB786594 VRW786594:VRX786594 WBS786594:WBT786594 WLO786594:WLP786594 WVK786594:WVL786594 C852130:D852130 IY852130:IZ852130 SU852130:SV852130 ACQ852130:ACR852130 AMM852130:AMN852130 AWI852130:AWJ852130 BGE852130:BGF852130 BQA852130:BQB852130 BZW852130:BZX852130 CJS852130:CJT852130 CTO852130:CTP852130 DDK852130:DDL852130 DNG852130:DNH852130 DXC852130:DXD852130 EGY852130:EGZ852130 EQU852130:EQV852130 FAQ852130:FAR852130 FKM852130:FKN852130 FUI852130:FUJ852130 GEE852130:GEF852130 GOA852130:GOB852130 GXW852130:GXX852130 HHS852130:HHT852130 HRO852130:HRP852130 IBK852130:IBL852130 ILG852130:ILH852130 IVC852130:IVD852130 JEY852130:JEZ852130 JOU852130:JOV852130 JYQ852130:JYR852130 KIM852130:KIN852130 KSI852130:KSJ852130 LCE852130:LCF852130 LMA852130:LMB852130 LVW852130:LVX852130 MFS852130:MFT852130 MPO852130:MPP852130 MZK852130:MZL852130 NJG852130:NJH852130 NTC852130:NTD852130 OCY852130:OCZ852130 OMU852130:OMV852130 OWQ852130:OWR852130 PGM852130:PGN852130 PQI852130:PQJ852130 QAE852130:QAF852130 QKA852130:QKB852130 QTW852130:QTX852130 RDS852130:RDT852130 RNO852130:RNP852130 RXK852130:RXL852130 SHG852130:SHH852130 SRC852130:SRD852130 TAY852130:TAZ852130 TKU852130:TKV852130 TUQ852130:TUR852130 UEM852130:UEN852130 UOI852130:UOJ852130 UYE852130:UYF852130 VIA852130:VIB852130 VRW852130:VRX852130 WBS852130:WBT852130 WLO852130:WLP852130 WVK852130:WVL852130 C917666:D917666 IY917666:IZ917666 SU917666:SV917666 ACQ917666:ACR917666 AMM917666:AMN917666 AWI917666:AWJ917666 BGE917666:BGF917666 BQA917666:BQB917666 BZW917666:BZX917666 CJS917666:CJT917666 CTO917666:CTP917666 DDK917666:DDL917666 DNG917666:DNH917666 DXC917666:DXD917666 EGY917666:EGZ917666 EQU917666:EQV917666 FAQ917666:FAR917666 FKM917666:FKN917666 FUI917666:FUJ917666 GEE917666:GEF917666 GOA917666:GOB917666 GXW917666:GXX917666 HHS917666:HHT917666 HRO917666:HRP917666 IBK917666:IBL917666 ILG917666:ILH917666 IVC917666:IVD917666 JEY917666:JEZ917666 JOU917666:JOV917666 JYQ917666:JYR917666 KIM917666:KIN917666 KSI917666:KSJ917666 LCE917666:LCF917666 LMA917666:LMB917666 LVW917666:LVX917666 MFS917666:MFT917666 MPO917666:MPP917666 MZK917666:MZL917666 NJG917666:NJH917666 NTC917666:NTD917666 OCY917666:OCZ917666 OMU917666:OMV917666 OWQ917666:OWR917666 PGM917666:PGN917666 PQI917666:PQJ917666 QAE917666:QAF917666 QKA917666:QKB917666 QTW917666:QTX917666 RDS917666:RDT917666 RNO917666:RNP917666 RXK917666:RXL917666 SHG917666:SHH917666 SRC917666:SRD917666 TAY917666:TAZ917666 TKU917666:TKV917666 TUQ917666:TUR917666 UEM917666:UEN917666 UOI917666:UOJ917666 UYE917666:UYF917666 VIA917666:VIB917666 VRW917666:VRX917666 WBS917666:WBT917666 WLO917666:WLP917666 WVK917666:WVL917666 C983202:D983202 IY983202:IZ983202 SU983202:SV983202 ACQ983202:ACR983202 AMM983202:AMN983202 AWI983202:AWJ983202 BGE983202:BGF983202 BQA983202:BQB983202 BZW983202:BZX983202 CJS983202:CJT983202 CTO983202:CTP983202 DDK983202:DDL983202 DNG983202:DNH983202 DXC983202:DXD983202 EGY983202:EGZ983202 EQU983202:EQV983202 FAQ983202:FAR983202 FKM983202:FKN983202 FUI983202:FUJ983202 GEE983202:GEF983202 GOA983202:GOB983202 GXW983202:GXX983202 HHS983202:HHT983202 HRO983202:HRP983202 IBK983202:IBL983202 ILG983202:ILH983202 IVC983202:IVD983202 JEY983202:JEZ983202 JOU983202:JOV983202 JYQ983202:JYR983202 KIM983202:KIN983202 KSI983202:KSJ983202 LCE983202:LCF983202 LMA983202:LMB983202 LVW983202:LVX983202 MFS983202:MFT983202 MPO983202:MPP983202 MZK983202:MZL983202 NJG983202:NJH983202 NTC983202:NTD983202 OCY983202:OCZ983202 OMU983202:OMV983202 OWQ983202:OWR983202 PGM983202:PGN983202 PQI983202:PQJ983202 QAE983202:QAF983202 QKA983202:QKB983202 QTW983202:QTX983202 RDS983202:RDT983202 RNO983202:RNP983202 RXK983202:RXL983202 SHG983202:SHH983202 SRC983202:SRD983202 TAY983202:TAZ983202 TKU983202:TKV983202 TUQ983202:TUR983202 UEM983202:UEN983202 UOI983202:UOJ983202 UYE983202:UYF983202 VIA983202:VIB983202 VRW983202:VRX983202 WBS983202:WBT983202 WLO983202:WLP983202 WVK983202:WVL983202 C194:D194 IY194:IZ194 SU194:SV194 ACQ194:ACR194 AMM194:AMN194 AWI194:AWJ194 BGE194:BGF194 BQA194:BQB194 BZW194:BZX194 CJS194:CJT194 CTO194:CTP194 DDK194:DDL194 DNG194:DNH194 DXC194:DXD194 EGY194:EGZ194 EQU194:EQV194 FAQ194:FAR194 FKM194:FKN194 FUI194:FUJ194 GEE194:GEF194 GOA194:GOB194 GXW194:GXX194 HHS194:HHT194 HRO194:HRP194 IBK194:IBL194 ILG194:ILH194 IVC194:IVD194 JEY194:JEZ194 JOU194:JOV194 JYQ194:JYR194 KIM194:KIN194 KSI194:KSJ194 LCE194:LCF194 LMA194:LMB194 LVW194:LVX194 MFS194:MFT194 MPO194:MPP194 MZK194:MZL194 NJG194:NJH194 NTC194:NTD194 OCY194:OCZ194 OMU194:OMV194 OWQ194:OWR194 PGM194:PGN194 PQI194:PQJ194 QAE194:QAF194 QKA194:QKB194 QTW194:QTX194 RDS194:RDT194 RNO194:RNP194 RXK194:RXL194 SHG194:SHH194 SRC194:SRD194 TAY194:TAZ194 TKU194:TKV194 TUQ194:TUR194 UEM194:UEN194 UOI194:UOJ194 UYE194:UYF194 VIA194:VIB194 VRW194:VRX194 WBS194:WBT194 WLO194:WLP194 WVK194:WVL194 C65730:D65730 IY65730:IZ65730 SU65730:SV65730 ACQ65730:ACR65730 AMM65730:AMN65730 AWI65730:AWJ65730 BGE65730:BGF65730 BQA65730:BQB65730 BZW65730:BZX65730 CJS65730:CJT65730 CTO65730:CTP65730 DDK65730:DDL65730 DNG65730:DNH65730 DXC65730:DXD65730 EGY65730:EGZ65730 EQU65730:EQV65730 FAQ65730:FAR65730 FKM65730:FKN65730 FUI65730:FUJ65730 GEE65730:GEF65730 GOA65730:GOB65730 GXW65730:GXX65730 HHS65730:HHT65730 HRO65730:HRP65730 IBK65730:IBL65730 ILG65730:ILH65730 IVC65730:IVD65730 JEY65730:JEZ65730 JOU65730:JOV65730 JYQ65730:JYR65730 KIM65730:KIN65730 KSI65730:KSJ65730 LCE65730:LCF65730 LMA65730:LMB65730 LVW65730:LVX65730 MFS65730:MFT65730 MPO65730:MPP65730 MZK65730:MZL65730 NJG65730:NJH65730 NTC65730:NTD65730 OCY65730:OCZ65730 OMU65730:OMV65730 OWQ65730:OWR65730 PGM65730:PGN65730 PQI65730:PQJ65730 QAE65730:QAF65730 QKA65730:QKB65730 QTW65730:QTX65730 RDS65730:RDT65730 RNO65730:RNP65730 RXK65730:RXL65730 SHG65730:SHH65730 SRC65730:SRD65730 TAY65730:TAZ65730 TKU65730:TKV65730 TUQ65730:TUR65730 UEM65730:UEN65730 UOI65730:UOJ65730 UYE65730:UYF65730 VIA65730:VIB65730 VRW65730:VRX65730 WBS65730:WBT65730 WLO65730:WLP65730 WVK65730:WVL65730 C131266:D131266 IY131266:IZ131266 SU131266:SV131266 ACQ131266:ACR131266 AMM131266:AMN131266 AWI131266:AWJ131266 BGE131266:BGF131266 BQA131266:BQB131266 BZW131266:BZX131266 CJS131266:CJT131266 CTO131266:CTP131266 DDK131266:DDL131266 DNG131266:DNH131266 DXC131266:DXD131266 EGY131266:EGZ131266 EQU131266:EQV131266 FAQ131266:FAR131266 FKM131266:FKN131266 FUI131266:FUJ131266 GEE131266:GEF131266 GOA131266:GOB131266 GXW131266:GXX131266 HHS131266:HHT131266 HRO131266:HRP131266 IBK131266:IBL131266 ILG131266:ILH131266 IVC131266:IVD131266 JEY131266:JEZ131266 JOU131266:JOV131266 JYQ131266:JYR131266 KIM131266:KIN131266 KSI131266:KSJ131266 LCE131266:LCF131266 LMA131266:LMB131266 LVW131266:LVX131266 MFS131266:MFT131266 MPO131266:MPP131266 MZK131266:MZL131266 NJG131266:NJH131266 NTC131266:NTD131266 OCY131266:OCZ131266 OMU131266:OMV131266 OWQ131266:OWR131266 PGM131266:PGN131266 PQI131266:PQJ131266 QAE131266:QAF131266 QKA131266:QKB131266 QTW131266:QTX131266 RDS131266:RDT131266 RNO131266:RNP131266 RXK131266:RXL131266 SHG131266:SHH131266 SRC131266:SRD131266 TAY131266:TAZ131266 TKU131266:TKV131266 TUQ131266:TUR131266 UEM131266:UEN131266 UOI131266:UOJ131266 UYE131266:UYF131266 VIA131266:VIB131266 VRW131266:VRX131266 WBS131266:WBT131266 WLO131266:WLP131266 WVK131266:WVL131266 C196802:D196802 IY196802:IZ196802 SU196802:SV196802 ACQ196802:ACR196802 AMM196802:AMN196802 AWI196802:AWJ196802 BGE196802:BGF196802 BQA196802:BQB196802 BZW196802:BZX196802 CJS196802:CJT196802 CTO196802:CTP196802 DDK196802:DDL196802 DNG196802:DNH196802 DXC196802:DXD196802 EGY196802:EGZ196802 EQU196802:EQV196802 FAQ196802:FAR196802 FKM196802:FKN196802 FUI196802:FUJ196802 GEE196802:GEF196802 GOA196802:GOB196802 GXW196802:GXX196802 HHS196802:HHT196802 HRO196802:HRP196802 IBK196802:IBL196802 ILG196802:ILH196802 IVC196802:IVD196802 JEY196802:JEZ196802 JOU196802:JOV196802 JYQ196802:JYR196802 KIM196802:KIN196802 KSI196802:KSJ196802 LCE196802:LCF196802 LMA196802:LMB196802 LVW196802:LVX196802 MFS196802:MFT196802 MPO196802:MPP196802 MZK196802:MZL196802 NJG196802:NJH196802 NTC196802:NTD196802 OCY196802:OCZ196802 OMU196802:OMV196802 OWQ196802:OWR196802 PGM196802:PGN196802 PQI196802:PQJ196802 QAE196802:QAF196802 QKA196802:QKB196802 QTW196802:QTX196802 RDS196802:RDT196802 RNO196802:RNP196802 RXK196802:RXL196802 SHG196802:SHH196802 SRC196802:SRD196802 TAY196802:TAZ196802 TKU196802:TKV196802 TUQ196802:TUR196802 UEM196802:UEN196802 UOI196802:UOJ196802 UYE196802:UYF196802 VIA196802:VIB196802 VRW196802:VRX196802 WBS196802:WBT196802 WLO196802:WLP196802 WVK196802:WVL196802 C262338:D262338 IY262338:IZ262338 SU262338:SV262338 ACQ262338:ACR262338 AMM262338:AMN262338 AWI262338:AWJ262338 BGE262338:BGF262338 BQA262338:BQB262338 BZW262338:BZX262338 CJS262338:CJT262338 CTO262338:CTP262338 DDK262338:DDL262338 DNG262338:DNH262338 DXC262338:DXD262338 EGY262338:EGZ262338 EQU262338:EQV262338 FAQ262338:FAR262338 FKM262338:FKN262338 FUI262338:FUJ262338 GEE262338:GEF262338 GOA262338:GOB262338 GXW262338:GXX262338 HHS262338:HHT262338 HRO262338:HRP262338 IBK262338:IBL262338 ILG262338:ILH262338 IVC262338:IVD262338 JEY262338:JEZ262338 JOU262338:JOV262338 JYQ262338:JYR262338 KIM262338:KIN262338 KSI262338:KSJ262338 LCE262338:LCF262338 LMA262338:LMB262338 LVW262338:LVX262338 MFS262338:MFT262338 MPO262338:MPP262338 MZK262338:MZL262338 NJG262338:NJH262338 NTC262338:NTD262338 OCY262338:OCZ262338 OMU262338:OMV262338 OWQ262338:OWR262338 PGM262338:PGN262338 PQI262338:PQJ262338 QAE262338:QAF262338 QKA262338:QKB262338 QTW262338:QTX262338 RDS262338:RDT262338 RNO262338:RNP262338 RXK262338:RXL262338 SHG262338:SHH262338 SRC262338:SRD262338 TAY262338:TAZ262338 TKU262338:TKV262338 TUQ262338:TUR262338 UEM262338:UEN262338 UOI262338:UOJ262338 UYE262338:UYF262338 VIA262338:VIB262338 VRW262338:VRX262338 WBS262338:WBT262338 WLO262338:WLP262338 WVK262338:WVL262338 C327874:D327874 IY327874:IZ327874 SU327874:SV327874 ACQ327874:ACR327874 AMM327874:AMN327874 AWI327874:AWJ327874 BGE327874:BGF327874 BQA327874:BQB327874 BZW327874:BZX327874 CJS327874:CJT327874 CTO327874:CTP327874 DDK327874:DDL327874 DNG327874:DNH327874 DXC327874:DXD327874 EGY327874:EGZ327874 EQU327874:EQV327874 FAQ327874:FAR327874 FKM327874:FKN327874 FUI327874:FUJ327874 GEE327874:GEF327874 GOA327874:GOB327874 GXW327874:GXX327874 HHS327874:HHT327874 HRO327874:HRP327874 IBK327874:IBL327874 ILG327874:ILH327874 IVC327874:IVD327874 JEY327874:JEZ327874 JOU327874:JOV327874 JYQ327874:JYR327874 KIM327874:KIN327874 KSI327874:KSJ327874 LCE327874:LCF327874 LMA327874:LMB327874 LVW327874:LVX327874 MFS327874:MFT327874 MPO327874:MPP327874 MZK327874:MZL327874 NJG327874:NJH327874 NTC327874:NTD327874 OCY327874:OCZ327874 OMU327874:OMV327874 OWQ327874:OWR327874 PGM327874:PGN327874 PQI327874:PQJ327874 QAE327874:QAF327874 QKA327874:QKB327874 QTW327874:QTX327874 RDS327874:RDT327874 RNO327874:RNP327874 RXK327874:RXL327874 SHG327874:SHH327874 SRC327874:SRD327874 TAY327874:TAZ327874 TKU327874:TKV327874 TUQ327874:TUR327874 UEM327874:UEN327874 UOI327874:UOJ327874 UYE327874:UYF327874 VIA327874:VIB327874 VRW327874:VRX327874 WBS327874:WBT327874 WLO327874:WLP327874 WVK327874:WVL327874 C393410:D393410 IY393410:IZ393410 SU393410:SV393410 ACQ393410:ACR393410 AMM393410:AMN393410 AWI393410:AWJ393410 BGE393410:BGF393410 BQA393410:BQB393410 BZW393410:BZX393410 CJS393410:CJT393410 CTO393410:CTP393410 DDK393410:DDL393410 DNG393410:DNH393410 DXC393410:DXD393410 EGY393410:EGZ393410 EQU393410:EQV393410 FAQ393410:FAR393410 FKM393410:FKN393410 FUI393410:FUJ393410 GEE393410:GEF393410 GOA393410:GOB393410 GXW393410:GXX393410 HHS393410:HHT393410 HRO393410:HRP393410 IBK393410:IBL393410 ILG393410:ILH393410 IVC393410:IVD393410 JEY393410:JEZ393410 JOU393410:JOV393410 JYQ393410:JYR393410 KIM393410:KIN393410 KSI393410:KSJ393410 LCE393410:LCF393410 LMA393410:LMB393410 LVW393410:LVX393410 MFS393410:MFT393410 MPO393410:MPP393410 MZK393410:MZL393410 NJG393410:NJH393410 NTC393410:NTD393410 OCY393410:OCZ393410 OMU393410:OMV393410 OWQ393410:OWR393410 PGM393410:PGN393410 PQI393410:PQJ393410 QAE393410:QAF393410 QKA393410:QKB393410 QTW393410:QTX393410 RDS393410:RDT393410 RNO393410:RNP393410 RXK393410:RXL393410 SHG393410:SHH393410 SRC393410:SRD393410 TAY393410:TAZ393410 TKU393410:TKV393410 TUQ393410:TUR393410 UEM393410:UEN393410 UOI393410:UOJ393410 UYE393410:UYF393410 VIA393410:VIB393410 VRW393410:VRX393410 WBS393410:WBT393410 WLO393410:WLP393410 WVK393410:WVL393410 C458946:D458946 IY458946:IZ458946 SU458946:SV458946 ACQ458946:ACR458946 AMM458946:AMN458946 AWI458946:AWJ458946 BGE458946:BGF458946 BQA458946:BQB458946 BZW458946:BZX458946 CJS458946:CJT458946 CTO458946:CTP458946 DDK458946:DDL458946 DNG458946:DNH458946 DXC458946:DXD458946 EGY458946:EGZ458946 EQU458946:EQV458946 FAQ458946:FAR458946 FKM458946:FKN458946 FUI458946:FUJ458946 GEE458946:GEF458946 GOA458946:GOB458946 GXW458946:GXX458946 HHS458946:HHT458946 HRO458946:HRP458946 IBK458946:IBL458946 ILG458946:ILH458946 IVC458946:IVD458946 JEY458946:JEZ458946 JOU458946:JOV458946 JYQ458946:JYR458946 KIM458946:KIN458946 KSI458946:KSJ458946 LCE458946:LCF458946 LMA458946:LMB458946 LVW458946:LVX458946 MFS458946:MFT458946 MPO458946:MPP458946 MZK458946:MZL458946 NJG458946:NJH458946 NTC458946:NTD458946 OCY458946:OCZ458946 OMU458946:OMV458946 OWQ458946:OWR458946 PGM458946:PGN458946 PQI458946:PQJ458946 QAE458946:QAF458946 QKA458946:QKB458946 QTW458946:QTX458946 RDS458946:RDT458946 RNO458946:RNP458946 RXK458946:RXL458946 SHG458946:SHH458946 SRC458946:SRD458946 TAY458946:TAZ458946 TKU458946:TKV458946 TUQ458946:TUR458946 UEM458946:UEN458946 UOI458946:UOJ458946 UYE458946:UYF458946 VIA458946:VIB458946 VRW458946:VRX458946 WBS458946:WBT458946 WLO458946:WLP458946 WVK458946:WVL458946 C524482:D524482 IY524482:IZ524482 SU524482:SV524482 ACQ524482:ACR524482 AMM524482:AMN524482 AWI524482:AWJ524482 BGE524482:BGF524482 BQA524482:BQB524482 BZW524482:BZX524482 CJS524482:CJT524482 CTO524482:CTP524482 DDK524482:DDL524482 DNG524482:DNH524482 DXC524482:DXD524482 EGY524482:EGZ524482 EQU524482:EQV524482 FAQ524482:FAR524482 FKM524482:FKN524482 FUI524482:FUJ524482 GEE524482:GEF524482 GOA524482:GOB524482 GXW524482:GXX524482 HHS524482:HHT524482 HRO524482:HRP524482 IBK524482:IBL524482 ILG524482:ILH524482 IVC524482:IVD524482 JEY524482:JEZ524482 JOU524482:JOV524482 JYQ524482:JYR524482 KIM524482:KIN524482 KSI524482:KSJ524482 LCE524482:LCF524482 LMA524482:LMB524482 LVW524482:LVX524482 MFS524482:MFT524482 MPO524482:MPP524482 MZK524482:MZL524482 NJG524482:NJH524482 NTC524482:NTD524482 OCY524482:OCZ524482 OMU524482:OMV524482 OWQ524482:OWR524482 PGM524482:PGN524482 PQI524482:PQJ524482 QAE524482:QAF524482 QKA524482:QKB524482 QTW524482:QTX524482 RDS524482:RDT524482 RNO524482:RNP524482 RXK524482:RXL524482 SHG524482:SHH524482 SRC524482:SRD524482 TAY524482:TAZ524482 TKU524482:TKV524482 TUQ524482:TUR524482 UEM524482:UEN524482 UOI524482:UOJ524482 UYE524482:UYF524482 VIA524482:VIB524482 VRW524482:VRX524482 WBS524482:WBT524482 WLO524482:WLP524482 WVK524482:WVL524482 C590018:D590018 IY590018:IZ590018 SU590018:SV590018 ACQ590018:ACR590018 AMM590018:AMN590018 AWI590018:AWJ590018 BGE590018:BGF590018 BQA590018:BQB590018 BZW590018:BZX590018 CJS590018:CJT590018 CTO590018:CTP590018 DDK590018:DDL590018 DNG590018:DNH590018 DXC590018:DXD590018 EGY590018:EGZ590018 EQU590018:EQV590018 FAQ590018:FAR590018 FKM590018:FKN590018 FUI590018:FUJ590018 GEE590018:GEF590018 GOA590018:GOB590018 GXW590018:GXX590018 HHS590018:HHT590018 HRO590018:HRP590018 IBK590018:IBL590018 ILG590018:ILH590018 IVC590018:IVD590018 JEY590018:JEZ590018 JOU590018:JOV590018 JYQ590018:JYR590018 KIM590018:KIN590018 KSI590018:KSJ590018 LCE590018:LCF590018 LMA590018:LMB590018 LVW590018:LVX590018 MFS590018:MFT590018 MPO590018:MPP590018 MZK590018:MZL590018 NJG590018:NJH590018 NTC590018:NTD590018 OCY590018:OCZ590018 OMU590018:OMV590018 OWQ590018:OWR590018 PGM590018:PGN590018 PQI590018:PQJ590018 QAE590018:QAF590018 QKA590018:QKB590018 QTW590018:QTX590018 RDS590018:RDT590018 RNO590018:RNP590018 RXK590018:RXL590018 SHG590018:SHH590018 SRC590018:SRD590018 TAY590018:TAZ590018 TKU590018:TKV590018 TUQ590018:TUR590018 UEM590018:UEN590018 UOI590018:UOJ590018 UYE590018:UYF590018 VIA590018:VIB590018 VRW590018:VRX590018 WBS590018:WBT590018 WLO590018:WLP590018 WVK590018:WVL590018 C655554:D655554 IY655554:IZ655554 SU655554:SV655554 ACQ655554:ACR655554 AMM655554:AMN655554 AWI655554:AWJ655554 BGE655554:BGF655554 BQA655554:BQB655554 BZW655554:BZX655554 CJS655554:CJT655554 CTO655554:CTP655554 DDK655554:DDL655554 DNG655554:DNH655554 DXC655554:DXD655554 EGY655554:EGZ655554 EQU655554:EQV655554 FAQ655554:FAR655554 FKM655554:FKN655554 FUI655554:FUJ655554 GEE655554:GEF655554 GOA655554:GOB655554 GXW655554:GXX655554 HHS655554:HHT655554 HRO655554:HRP655554 IBK655554:IBL655554 ILG655554:ILH655554 IVC655554:IVD655554 JEY655554:JEZ655554 JOU655554:JOV655554 JYQ655554:JYR655554 KIM655554:KIN655554 KSI655554:KSJ655554 LCE655554:LCF655554 LMA655554:LMB655554 LVW655554:LVX655554 MFS655554:MFT655554 MPO655554:MPP655554 MZK655554:MZL655554 NJG655554:NJH655554 NTC655554:NTD655554 OCY655554:OCZ655554 OMU655554:OMV655554 OWQ655554:OWR655554 PGM655554:PGN655554 PQI655554:PQJ655554 QAE655554:QAF655554 QKA655554:QKB655554 QTW655554:QTX655554 RDS655554:RDT655554 RNO655554:RNP655554 RXK655554:RXL655554 SHG655554:SHH655554 SRC655554:SRD655554 TAY655554:TAZ655554 TKU655554:TKV655554 TUQ655554:TUR655554 UEM655554:UEN655554 UOI655554:UOJ655554 UYE655554:UYF655554 VIA655554:VIB655554 VRW655554:VRX655554 WBS655554:WBT655554 WLO655554:WLP655554 WVK655554:WVL655554 C721090:D721090 IY721090:IZ721090 SU721090:SV721090 ACQ721090:ACR721090 AMM721090:AMN721090 AWI721090:AWJ721090 BGE721090:BGF721090 BQA721090:BQB721090 BZW721090:BZX721090 CJS721090:CJT721090 CTO721090:CTP721090 DDK721090:DDL721090 DNG721090:DNH721090 DXC721090:DXD721090 EGY721090:EGZ721090 EQU721090:EQV721090 FAQ721090:FAR721090 FKM721090:FKN721090 FUI721090:FUJ721090 GEE721090:GEF721090 GOA721090:GOB721090 GXW721090:GXX721090 HHS721090:HHT721090 HRO721090:HRP721090 IBK721090:IBL721090 ILG721090:ILH721090 IVC721090:IVD721090 JEY721090:JEZ721090 JOU721090:JOV721090 JYQ721090:JYR721090 KIM721090:KIN721090 KSI721090:KSJ721090 LCE721090:LCF721090 LMA721090:LMB721090 LVW721090:LVX721090 MFS721090:MFT721090 MPO721090:MPP721090 MZK721090:MZL721090 NJG721090:NJH721090 NTC721090:NTD721090 OCY721090:OCZ721090 OMU721090:OMV721090 OWQ721090:OWR721090 PGM721090:PGN721090 PQI721090:PQJ721090 QAE721090:QAF721090 QKA721090:QKB721090 QTW721090:QTX721090 RDS721090:RDT721090 RNO721090:RNP721090 RXK721090:RXL721090 SHG721090:SHH721090 SRC721090:SRD721090 TAY721090:TAZ721090 TKU721090:TKV721090 TUQ721090:TUR721090 UEM721090:UEN721090 UOI721090:UOJ721090 UYE721090:UYF721090 VIA721090:VIB721090 VRW721090:VRX721090 WBS721090:WBT721090 WLO721090:WLP721090 WVK721090:WVL721090 C786626:D786626 IY786626:IZ786626 SU786626:SV786626 ACQ786626:ACR786626 AMM786626:AMN786626 AWI786626:AWJ786626 BGE786626:BGF786626 BQA786626:BQB786626 BZW786626:BZX786626 CJS786626:CJT786626 CTO786626:CTP786626 DDK786626:DDL786626 DNG786626:DNH786626 DXC786626:DXD786626 EGY786626:EGZ786626 EQU786626:EQV786626 FAQ786626:FAR786626 FKM786626:FKN786626 FUI786626:FUJ786626 GEE786626:GEF786626 GOA786626:GOB786626 GXW786626:GXX786626 HHS786626:HHT786626 HRO786626:HRP786626 IBK786626:IBL786626 ILG786626:ILH786626 IVC786626:IVD786626 JEY786626:JEZ786626 JOU786626:JOV786626 JYQ786626:JYR786626 KIM786626:KIN786626 KSI786626:KSJ786626 LCE786626:LCF786626 LMA786626:LMB786626 LVW786626:LVX786626 MFS786626:MFT786626 MPO786626:MPP786626 MZK786626:MZL786626 NJG786626:NJH786626 NTC786626:NTD786626 OCY786626:OCZ786626 OMU786626:OMV786626 OWQ786626:OWR786626 PGM786626:PGN786626 PQI786626:PQJ786626 QAE786626:QAF786626 QKA786626:QKB786626 QTW786626:QTX786626 RDS786626:RDT786626 RNO786626:RNP786626 RXK786626:RXL786626 SHG786626:SHH786626 SRC786626:SRD786626 TAY786626:TAZ786626 TKU786626:TKV786626 TUQ786626:TUR786626 UEM786626:UEN786626 UOI786626:UOJ786626 UYE786626:UYF786626 VIA786626:VIB786626 VRW786626:VRX786626 WBS786626:WBT786626 WLO786626:WLP786626 WVK786626:WVL786626 C852162:D852162 IY852162:IZ852162 SU852162:SV852162 ACQ852162:ACR852162 AMM852162:AMN852162 AWI852162:AWJ852162 BGE852162:BGF852162 BQA852162:BQB852162 BZW852162:BZX852162 CJS852162:CJT852162 CTO852162:CTP852162 DDK852162:DDL852162 DNG852162:DNH852162 DXC852162:DXD852162 EGY852162:EGZ852162 EQU852162:EQV852162 FAQ852162:FAR852162 FKM852162:FKN852162 FUI852162:FUJ852162 GEE852162:GEF852162 GOA852162:GOB852162 GXW852162:GXX852162 HHS852162:HHT852162 HRO852162:HRP852162 IBK852162:IBL852162 ILG852162:ILH852162 IVC852162:IVD852162 JEY852162:JEZ852162 JOU852162:JOV852162 JYQ852162:JYR852162 KIM852162:KIN852162 KSI852162:KSJ852162 LCE852162:LCF852162 LMA852162:LMB852162 LVW852162:LVX852162 MFS852162:MFT852162 MPO852162:MPP852162 MZK852162:MZL852162 NJG852162:NJH852162 NTC852162:NTD852162 OCY852162:OCZ852162 OMU852162:OMV852162 OWQ852162:OWR852162 PGM852162:PGN852162 PQI852162:PQJ852162 QAE852162:QAF852162 QKA852162:QKB852162 QTW852162:QTX852162 RDS852162:RDT852162 RNO852162:RNP852162 RXK852162:RXL852162 SHG852162:SHH852162 SRC852162:SRD852162 TAY852162:TAZ852162 TKU852162:TKV852162 TUQ852162:TUR852162 UEM852162:UEN852162 UOI852162:UOJ852162 UYE852162:UYF852162 VIA852162:VIB852162 VRW852162:VRX852162 WBS852162:WBT852162 WLO852162:WLP852162 WVK852162:WVL852162 C917698:D917698 IY917698:IZ917698 SU917698:SV917698 ACQ917698:ACR917698 AMM917698:AMN917698 AWI917698:AWJ917698 BGE917698:BGF917698 BQA917698:BQB917698 BZW917698:BZX917698 CJS917698:CJT917698 CTO917698:CTP917698 DDK917698:DDL917698 DNG917698:DNH917698 DXC917698:DXD917698 EGY917698:EGZ917698 EQU917698:EQV917698 FAQ917698:FAR917698 FKM917698:FKN917698 FUI917698:FUJ917698 GEE917698:GEF917698 GOA917698:GOB917698 GXW917698:GXX917698 HHS917698:HHT917698 HRO917698:HRP917698 IBK917698:IBL917698 ILG917698:ILH917698 IVC917698:IVD917698 JEY917698:JEZ917698 JOU917698:JOV917698 JYQ917698:JYR917698 KIM917698:KIN917698 KSI917698:KSJ917698 LCE917698:LCF917698 LMA917698:LMB917698 LVW917698:LVX917698 MFS917698:MFT917698 MPO917698:MPP917698 MZK917698:MZL917698 NJG917698:NJH917698 NTC917698:NTD917698 OCY917698:OCZ917698 OMU917698:OMV917698 OWQ917698:OWR917698 PGM917698:PGN917698 PQI917698:PQJ917698 QAE917698:QAF917698 QKA917698:QKB917698 QTW917698:QTX917698 RDS917698:RDT917698 RNO917698:RNP917698 RXK917698:RXL917698 SHG917698:SHH917698 SRC917698:SRD917698 TAY917698:TAZ917698 TKU917698:TKV917698 TUQ917698:TUR917698 UEM917698:UEN917698 UOI917698:UOJ917698 UYE917698:UYF917698 VIA917698:VIB917698 VRW917698:VRX917698 WBS917698:WBT917698 WLO917698:WLP917698 WVK917698:WVL917698 C983234:D983234 IY983234:IZ983234 SU983234:SV983234 ACQ983234:ACR983234 AMM983234:AMN983234 AWI983234:AWJ983234 BGE983234:BGF983234 BQA983234:BQB983234 BZW983234:BZX983234 CJS983234:CJT983234 CTO983234:CTP983234 DDK983234:DDL983234 DNG983234:DNH983234 DXC983234:DXD983234 EGY983234:EGZ983234 EQU983234:EQV983234 FAQ983234:FAR983234 FKM983234:FKN983234 FUI983234:FUJ983234 GEE983234:GEF983234 GOA983234:GOB983234 GXW983234:GXX983234 HHS983234:HHT983234 HRO983234:HRP983234 IBK983234:IBL983234 ILG983234:ILH983234 IVC983234:IVD983234 JEY983234:JEZ983234 JOU983234:JOV983234 JYQ983234:JYR983234 KIM983234:KIN983234 KSI983234:KSJ983234 LCE983234:LCF983234 LMA983234:LMB983234 LVW983234:LVX983234 MFS983234:MFT983234 MPO983234:MPP983234 MZK983234:MZL983234 NJG983234:NJH983234 NTC983234:NTD983234 OCY983234:OCZ983234 OMU983234:OMV983234 OWQ983234:OWR983234 PGM983234:PGN983234 PQI983234:PQJ983234 QAE983234:QAF983234 QKA983234:QKB983234 QTW983234:QTX983234 RDS983234:RDT983234 RNO983234:RNP983234 RXK983234:RXL983234 SHG983234:SHH983234 SRC983234:SRD983234 TAY983234:TAZ983234 TKU983234:TKV983234 TUQ983234:TUR983234 UEM983234:UEN983234 UOI983234:UOJ983234 UYE983234:UYF983234 VIA983234:VIB983234 VRW983234:VRX983234 WBS983234:WBT983234 WLO983234:WLP983234 WVK983234:WVL983234 C2:D2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WVK2:WVL2 C65538:D65538 IY65538:IZ65538 SU65538:SV65538 ACQ65538:ACR65538 AMM65538:AMN65538 AWI65538:AWJ65538 BGE65538:BGF65538 BQA65538:BQB65538 BZW65538:BZX65538 CJS65538:CJT65538 CTO65538:CTP65538 DDK65538:DDL65538 DNG65538:DNH65538 DXC65538:DXD65538 EGY65538:EGZ65538 EQU65538:EQV65538 FAQ65538:FAR65538 FKM65538:FKN65538 FUI65538:FUJ65538 GEE65538:GEF65538 GOA65538:GOB65538 GXW65538:GXX65538 HHS65538:HHT65538 HRO65538:HRP65538 IBK65538:IBL65538 ILG65538:ILH65538 IVC65538:IVD65538 JEY65538:JEZ65538 JOU65538:JOV65538 JYQ65538:JYR65538 KIM65538:KIN65538 KSI65538:KSJ65538 LCE65538:LCF65538 LMA65538:LMB65538 LVW65538:LVX65538 MFS65538:MFT65538 MPO65538:MPP65538 MZK65538:MZL65538 NJG65538:NJH65538 NTC65538:NTD65538 OCY65538:OCZ65538 OMU65538:OMV65538 OWQ65538:OWR65538 PGM65538:PGN65538 PQI65538:PQJ65538 QAE65538:QAF65538 QKA65538:QKB65538 QTW65538:QTX65538 RDS65538:RDT65538 RNO65538:RNP65538 RXK65538:RXL65538 SHG65538:SHH65538 SRC65538:SRD65538 TAY65538:TAZ65538 TKU65538:TKV65538 TUQ65538:TUR65538 UEM65538:UEN65538 UOI65538:UOJ65538 UYE65538:UYF65538 VIA65538:VIB65538 VRW65538:VRX65538 WBS65538:WBT65538 WLO65538:WLP65538 WVK65538:WVL65538 C131074:D131074 IY131074:IZ131074 SU131074:SV131074 ACQ131074:ACR131074 AMM131074:AMN131074 AWI131074:AWJ131074 BGE131074:BGF131074 BQA131074:BQB131074 BZW131074:BZX131074 CJS131074:CJT131074 CTO131074:CTP131074 DDK131074:DDL131074 DNG131074:DNH131074 DXC131074:DXD131074 EGY131074:EGZ131074 EQU131074:EQV131074 FAQ131074:FAR131074 FKM131074:FKN131074 FUI131074:FUJ131074 GEE131074:GEF131074 GOA131074:GOB131074 GXW131074:GXX131074 HHS131074:HHT131074 HRO131074:HRP131074 IBK131074:IBL131074 ILG131074:ILH131074 IVC131074:IVD131074 JEY131074:JEZ131074 JOU131074:JOV131074 JYQ131074:JYR131074 KIM131074:KIN131074 KSI131074:KSJ131074 LCE131074:LCF131074 LMA131074:LMB131074 LVW131074:LVX131074 MFS131074:MFT131074 MPO131074:MPP131074 MZK131074:MZL131074 NJG131074:NJH131074 NTC131074:NTD131074 OCY131074:OCZ131074 OMU131074:OMV131074 OWQ131074:OWR131074 PGM131074:PGN131074 PQI131074:PQJ131074 QAE131074:QAF131074 QKA131074:QKB131074 QTW131074:QTX131074 RDS131074:RDT131074 RNO131074:RNP131074 RXK131074:RXL131074 SHG131074:SHH131074 SRC131074:SRD131074 TAY131074:TAZ131074 TKU131074:TKV131074 TUQ131074:TUR131074 UEM131074:UEN131074 UOI131074:UOJ131074 UYE131074:UYF131074 VIA131074:VIB131074 VRW131074:VRX131074 WBS131074:WBT131074 WLO131074:WLP131074 WVK131074:WVL131074 C196610:D196610 IY196610:IZ196610 SU196610:SV196610 ACQ196610:ACR196610 AMM196610:AMN196610 AWI196610:AWJ196610 BGE196610:BGF196610 BQA196610:BQB196610 BZW196610:BZX196610 CJS196610:CJT196610 CTO196610:CTP196610 DDK196610:DDL196610 DNG196610:DNH196610 DXC196610:DXD196610 EGY196610:EGZ196610 EQU196610:EQV196610 FAQ196610:FAR196610 FKM196610:FKN196610 FUI196610:FUJ196610 GEE196610:GEF196610 GOA196610:GOB196610 GXW196610:GXX196610 HHS196610:HHT196610 HRO196610:HRP196610 IBK196610:IBL196610 ILG196610:ILH196610 IVC196610:IVD196610 JEY196610:JEZ196610 JOU196610:JOV196610 JYQ196610:JYR196610 KIM196610:KIN196610 KSI196610:KSJ196610 LCE196610:LCF196610 LMA196610:LMB196610 LVW196610:LVX196610 MFS196610:MFT196610 MPO196610:MPP196610 MZK196610:MZL196610 NJG196610:NJH196610 NTC196610:NTD196610 OCY196610:OCZ196610 OMU196610:OMV196610 OWQ196610:OWR196610 PGM196610:PGN196610 PQI196610:PQJ196610 QAE196610:QAF196610 QKA196610:QKB196610 QTW196610:QTX196610 RDS196610:RDT196610 RNO196610:RNP196610 RXK196610:RXL196610 SHG196610:SHH196610 SRC196610:SRD196610 TAY196610:TAZ196610 TKU196610:TKV196610 TUQ196610:TUR196610 UEM196610:UEN196610 UOI196610:UOJ196610 UYE196610:UYF196610 VIA196610:VIB196610 VRW196610:VRX196610 WBS196610:WBT196610 WLO196610:WLP196610 WVK196610:WVL196610 C262146:D262146 IY262146:IZ262146 SU262146:SV262146 ACQ262146:ACR262146 AMM262146:AMN262146 AWI262146:AWJ262146 BGE262146:BGF262146 BQA262146:BQB262146 BZW262146:BZX262146 CJS262146:CJT262146 CTO262146:CTP262146 DDK262146:DDL262146 DNG262146:DNH262146 DXC262146:DXD262146 EGY262146:EGZ262146 EQU262146:EQV262146 FAQ262146:FAR262146 FKM262146:FKN262146 FUI262146:FUJ262146 GEE262146:GEF262146 GOA262146:GOB262146 GXW262146:GXX262146 HHS262146:HHT262146 HRO262146:HRP262146 IBK262146:IBL262146 ILG262146:ILH262146 IVC262146:IVD262146 JEY262146:JEZ262146 JOU262146:JOV262146 JYQ262146:JYR262146 KIM262146:KIN262146 KSI262146:KSJ262146 LCE262146:LCF262146 LMA262146:LMB262146 LVW262146:LVX262146 MFS262146:MFT262146 MPO262146:MPP262146 MZK262146:MZL262146 NJG262146:NJH262146 NTC262146:NTD262146 OCY262146:OCZ262146 OMU262146:OMV262146 OWQ262146:OWR262146 PGM262146:PGN262146 PQI262146:PQJ262146 QAE262146:QAF262146 QKA262146:QKB262146 QTW262146:QTX262146 RDS262146:RDT262146 RNO262146:RNP262146 RXK262146:RXL262146 SHG262146:SHH262146 SRC262146:SRD262146 TAY262146:TAZ262146 TKU262146:TKV262146 TUQ262146:TUR262146 UEM262146:UEN262146 UOI262146:UOJ262146 UYE262146:UYF262146 VIA262146:VIB262146 VRW262146:VRX262146 WBS262146:WBT262146 WLO262146:WLP262146 WVK262146:WVL262146 C327682:D327682 IY327682:IZ327682 SU327682:SV327682 ACQ327682:ACR327682 AMM327682:AMN327682 AWI327682:AWJ327682 BGE327682:BGF327682 BQA327682:BQB327682 BZW327682:BZX327682 CJS327682:CJT327682 CTO327682:CTP327682 DDK327682:DDL327682 DNG327682:DNH327682 DXC327682:DXD327682 EGY327682:EGZ327682 EQU327682:EQV327682 FAQ327682:FAR327682 FKM327682:FKN327682 FUI327682:FUJ327682 GEE327682:GEF327682 GOA327682:GOB327682 GXW327682:GXX327682 HHS327682:HHT327682 HRO327682:HRP327682 IBK327682:IBL327682 ILG327682:ILH327682 IVC327682:IVD327682 JEY327682:JEZ327682 JOU327682:JOV327682 JYQ327682:JYR327682 KIM327682:KIN327682 KSI327682:KSJ327682 LCE327682:LCF327682 LMA327682:LMB327682 LVW327682:LVX327682 MFS327682:MFT327682 MPO327682:MPP327682 MZK327682:MZL327682 NJG327682:NJH327682 NTC327682:NTD327682 OCY327682:OCZ327682 OMU327682:OMV327682 OWQ327682:OWR327682 PGM327682:PGN327682 PQI327682:PQJ327682 QAE327682:QAF327682 QKA327682:QKB327682 QTW327682:QTX327682 RDS327682:RDT327682 RNO327682:RNP327682 RXK327682:RXL327682 SHG327682:SHH327682 SRC327682:SRD327682 TAY327682:TAZ327682 TKU327682:TKV327682 TUQ327682:TUR327682 UEM327682:UEN327682 UOI327682:UOJ327682 UYE327682:UYF327682 VIA327682:VIB327682 VRW327682:VRX327682 WBS327682:WBT327682 WLO327682:WLP327682 WVK327682:WVL327682 C393218:D393218 IY393218:IZ393218 SU393218:SV393218 ACQ393218:ACR393218 AMM393218:AMN393218 AWI393218:AWJ393218 BGE393218:BGF393218 BQA393218:BQB393218 BZW393218:BZX393218 CJS393218:CJT393218 CTO393218:CTP393218 DDK393218:DDL393218 DNG393218:DNH393218 DXC393218:DXD393218 EGY393218:EGZ393218 EQU393218:EQV393218 FAQ393218:FAR393218 FKM393218:FKN393218 FUI393218:FUJ393218 GEE393218:GEF393218 GOA393218:GOB393218 GXW393218:GXX393218 HHS393218:HHT393218 HRO393218:HRP393218 IBK393218:IBL393218 ILG393218:ILH393218 IVC393218:IVD393218 JEY393218:JEZ393218 JOU393218:JOV393218 JYQ393218:JYR393218 KIM393218:KIN393218 KSI393218:KSJ393218 LCE393218:LCF393218 LMA393218:LMB393218 LVW393218:LVX393218 MFS393218:MFT393218 MPO393218:MPP393218 MZK393218:MZL393218 NJG393218:NJH393218 NTC393218:NTD393218 OCY393218:OCZ393218 OMU393218:OMV393218 OWQ393218:OWR393218 PGM393218:PGN393218 PQI393218:PQJ393218 QAE393218:QAF393218 QKA393218:QKB393218 QTW393218:QTX393218 RDS393218:RDT393218 RNO393218:RNP393218 RXK393218:RXL393218 SHG393218:SHH393218 SRC393218:SRD393218 TAY393218:TAZ393218 TKU393218:TKV393218 TUQ393218:TUR393218 UEM393218:UEN393218 UOI393218:UOJ393218 UYE393218:UYF393218 VIA393218:VIB393218 VRW393218:VRX393218 WBS393218:WBT393218 WLO393218:WLP393218 WVK393218:WVL393218 C458754:D458754 IY458754:IZ458754 SU458754:SV458754 ACQ458754:ACR458754 AMM458754:AMN458754 AWI458754:AWJ458754 BGE458754:BGF458754 BQA458754:BQB458754 BZW458754:BZX458754 CJS458754:CJT458754 CTO458754:CTP458754 DDK458754:DDL458754 DNG458754:DNH458754 DXC458754:DXD458754 EGY458754:EGZ458754 EQU458754:EQV458754 FAQ458754:FAR458754 FKM458754:FKN458754 FUI458754:FUJ458754 GEE458754:GEF458754 GOA458754:GOB458754 GXW458754:GXX458754 HHS458754:HHT458754 HRO458754:HRP458754 IBK458754:IBL458754 ILG458754:ILH458754 IVC458754:IVD458754 JEY458754:JEZ458754 JOU458754:JOV458754 JYQ458754:JYR458754 KIM458754:KIN458754 KSI458754:KSJ458754 LCE458754:LCF458754 LMA458754:LMB458754 LVW458754:LVX458754 MFS458754:MFT458754 MPO458754:MPP458754 MZK458754:MZL458754 NJG458754:NJH458754 NTC458754:NTD458754 OCY458754:OCZ458754 OMU458754:OMV458754 OWQ458754:OWR458754 PGM458754:PGN458754 PQI458754:PQJ458754 QAE458754:QAF458754 QKA458754:QKB458754 QTW458754:QTX458754 RDS458754:RDT458754 RNO458754:RNP458754 RXK458754:RXL458754 SHG458754:SHH458754 SRC458754:SRD458754 TAY458754:TAZ458754 TKU458754:TKV458754 TUQ458754:TUR458754 UEM458754:UEN458754 UOI458754:UOJ458754 UYE458754:UYF458754 VIA458754:VIB458754 VRW458754:VRX458754 WBS458754:WBT458754 WLO458754:WLP458754 WVK458754:WVL458754 C524290:D524290 IY524290:IZ524290 SU524290:SV524290 ACQ524290:ACR524290 AMM524290:AMN524290 AWI524290:AWJ524290 BGE524290:BGF524290 BQA524290:BQB524290 BZW524290:BZX524290 CJS524290:CJT524290 CTO524290:CTP524290 DDK524290:DDL524290 DNG524290:DNH524290 DXC524290:DXD524290 EGY524290:EGZ524290 EQU524290:EQV524290 FAQ524290:FAR524290 FKM524290:FKN524290 FUI524290:FUJ524290 GEE524290:GEF524290 GOA524290:GOB524290 GXW524290:GXX524290 HHS524290:HHT524290 HRO524290:HRP524290 IBK524290:IBL524290 ILG524290:ILH524290 IVC524290:IVD524290 JEY524290:JEZ524290 JOU524290:JOV524290 JYQ524290:JYR524290 KIM524290:KIN524290 KSI524290:KSJ524290 LCE524290:LCF524290 LMA524290:LMB524290 LVW524290:LVX524290 MFS524290:MFT524290 MPO524290:MPP524290 MZK524290:MZL524290 NJG524290:NJH524290 NTC524290:NTD524290 OCY524290:OCZ524290 OMU524290:OMV524290 OWQ524290:OWR524290 PGM524290:PGN524290 PQI524290:PQJ524290 QAE524290:QAF524290 QKA524290:QKB524290 QTW524290:QTX524290 RDS524290:RDT524290 RNO524290:RNP524290 RXK524290:RXL524290 SHG524290:SHH524290 SRC524290:SRD524290 TAY524290:TAZ524290 TKU524290:TKV524290 TUQ524290:TUR524290 UEM524290:UEN524290 UOI524290:UOJ524290 UYE524290:UYF524290 VIA524290:VIB524290 VRW524290:VRX524290 WBS524290:WBT524290 WLO524290:WLP524290 WVK524290:WVL524290 C589826:D589826 IY589826:IZ589826 SU589826:SV589826 ACQ589826:ACR589826 AMM589826:AMN589826 AWI589826:AWJ589826 BGE589826:BGF589826 BQA589826:BQB589826 BZW589826:BZX589826 CJS589826:CJT589826 CTO589826:CTP589826 DDK589826:DDL589826 DNG589826:DNH589826 DXC589826:DXD589826 EGY589826:EGZ589826 EQU589826:EQV589826 FAQ589826:FAR589826 FKM589826:FKN589826 FUI589826:FUJ589826 GEE589826:GEF589826 GOA589826:GOB589826 GXW589826:GXX589826 HHS589826:HHT589826 HRO589826:HRP589826 IBK589826:IBL589826 ILG589826:ILH589826 IVC589826:IVD589826 JEY589826:JEZ589826 JOU589826:JOV589826 JYQ589826:JYR589826 KIM589826:KIN589826 KSI589826:KSJ589826 LCE589826:LCF589826 LMA589826:LMB589826 LVW589826:LVX589826 MFS589826:MFT589826 MPO589826:MPP589826 MZK589826:MZL589826 NJG589826:NJH589826 NTC589826:NTD589826 OCY589826:OCZ589826 OMU589826:OMV589826 OWQ589826:OWR589826 PGM589826:PGN589826 PQI589826:PQJ589826 QAE589826:QAF589826 QKA589826:QKB589826 QTW589826:QTX589826 RDS589826:RDT589826 RNO589826:RNP589826 RXK589826:RXL589826 SHG589826:SHH589826 SRC589826:SRD589826 TAY589826:TAZ589826 TKU589826:TKV589826 TUQ589826:TUR589826 UEM589826:UEN589826 UOI589826:UOJ589826 UYE589826:UYF589826 VIA589826:VIB589826 VRW589826:VRX589826 WBS589826:WBT589826 WLO589826:WLP589826 WVK589826:WVL589826 C655362:D655362 IY655362:IZ655362 SU655362:SV655362 ACQ655362:ACR655362 AMM655362:AMN655362 AWI655362:AWJ655362 BGE655362:BGF655362 BQA655362:BQB655362 BZW655362:BZX655362 CJS655362:CJT655362 CTO655362:CTP655362 DDK655362:DDL655362 DNG655362:DNH655362 DXC655362:DXD655362 EGY655362:EGZ655362 EQU655362:EQV655362 FAQ655362:FAR655362 FKM655362:FKN655362 FUI655362:FUJ655362 GEE655362:GEF655362 GOA655362:GOB655362 GXW655362:GXX655362 HHS655362:HHT655362 HRO655362:HRP655362 IBK655362:IBL655362 ILG655362:ILH655362 IVC655362:IVD655362 JEY655362:JEZ655362 JOU655362:JOV655362 JYQ655362:JYR655362 KIM655362:KIN655362 KSI655362:KSJ655362 LCE655362:LCF655362 LMA655362:LMB655362 LVW655362:LVX655362 MFS655362:MFT655362 MPO655362:MPP655362 MZK655362:MZL655362 NJG655362:NJH655362 NTC655362:NTD655362 OCY655362:OCZ655362 OMU655362:OMV655362 OWQ655362:OWR655362 PGM655362:PGN655362 PQI655362:PQJ655362 QAE655362:QAF655362 QKA655362:QKB655362 QTW655362:QTX655362 RDS655362:RDT655362 RNO655362:RNP655362 RXK655362:RXL655362 SHG655362:SHH655362 SRC655362:SRD655362 TAY655362:TAZ655362 TKU655362:TKV655362 TUQ655362:TUR655362 UEM655362:UEN655362 UOI655362:UOJ655362 UYE655362:UYF655362 VIA655362:VIB655362 VRW655362:VRX655362 WBS655362:WBT655362 WLO655362:WLP655362 WVK655362:WVL655362 C720898:D720898 IY720898:IZ720898 SU720898:SV720898 ACQ720898:ACR720898 AMM720898:AMN720898 AWI720898:AWJ720898 BGE720898:BGF720898 BQA720898:BQB720898 BZW720898:BZX720898 CJS720898:CJT720898 CTO720898:CTP720898 DDK720898:DDL720898 DNG720898:DNH720898 DXC720898:DXD720898 EGY720898:EGZ720898 EQU720898:EQV720898 FAQ720898:FAR720898 FKM720898:FKN720898 FUI720898:FUJ720898 GEE720898:GEF720898 GOA720898:GOB720898 GXW720898:GXX720898 HHS720898:HHT720898 HRO720898:HRP720898 IBK720898:IBL720898 ILG720898:ILH720898 IVC720898:IVD720898 JEY720898:JEZ720898 JOU720898:JOV720898 JYQ720898:JYR720898 KIM720898:KIN720898 KSI720898:KSJ720898 LCE720898:LCF720898 LMA720898:LMB720898 LVW720898:LVX720898 MFS720898:MFT720898 MPO720898:MPP720898 MZK720898:MZL720898 NJG720898:NJH720898 NTC720898:NTD720898 OCY720898:OCZ720898 OMU720898:OMV720898 OWQ720898:OWR720898 PGM720898:PGN720898 PQI720898:PQJ720898 QAE720898:QAF720898 QKA720898:QKB720898 QTW720898:QTX720898 RDS720898:RDT720898 RNO720898:RNP720898 RXK720898:RXL720898 SHG720898:SHH720898 SRC720898:SRD720898 TAY720898:TAZ720898 TKU720898:TKV720898 TUQ720898:TUR720898 UEM720898:UEN720898 UOI720898:UOJ720898 UYE720898:UYF720898 VIA720898:VIB720898 VRW720898:VRX720898 WBS720898:WBT720898 WLO720898:WLP720898 WVK720898:WVL720898 C786434:D786434 IY786434:IZ786434 SU786434:SV786434 ACQ786434:ACR786434 AMM786434:AMN786434 AWI786434:AWJ786434 BGE786434:BGF786434 BQA786434:BQB786434 BZW786434:BZX786434 CJS786434:CJT786434 CTO786434:CTP786434 DDK786434:DDL786434 DNG786434:DNH786434 DXC786434:DXD786434 EGY786434:EGZ786434 EQU786434:EQV786434 FAQ786434:FAR786434 FKM786434:FKN786434 FUI786434:FUJ786434 GEE786434:GEF786434 GOA786434:GOB786434 GXW786434:GXX786434 HHS786434:HHT786434 HRO786434:HRP786434 IBK786434:IBL786434 ILG786434:ILH786434 IVC786434:IVD786434 JEY786434:JEZ786434 JOU786434:JOV786434 JYQ786434:JYR786434 KIM786434:KIN786434 KSI786434:KSJ786434 LCE786434:LCF786434 LMA786434:LMB786434 LVW786434:LVX786434 MFS786434:MFT786434 MPO786434:MPP786434 MZK786434:MZL786434 NJG786434:NJH786434 NTC786434:NTD786434 OCY786434:OCZ786434 OMU786434:OMV786434 OWQ786434:OWR786434 PGM786434:PGN786434 PQI786434:PQJ786434 QAE786434:QAF786434 QKA786434:QKB786434 QTW786434:QTX786434 RDS786434:RDT786434 RNO786434:RNP786434 RXK786434:RXL786434 SHG786434:SHH786434 SRC786434:SRD786434 TAY786434:TAZ786434 TKU786434:TKV786434 TUQ786434:TUR786434 UEM786434:UEN786434 UOI786434:UOJ786434 UYE786434:UYF786434 VIA786434:VIB786434 VRW786434:VRX786434 WBS786434:WBT786434 WLO786434:WLP786434 WVK786434:WVL786434 C851970:D851970 IY851970:IZ851970 SU851970:SV851970 ACQ851970:ACR851970 AMM851970:AMN851970 AWI851970:AWJ851970 BGE851970:BGF851970 BQA851970:BQB851970 BZW851970:BZX851970 CJS851970:CJT851970 CTO851970:CTP851970 DDK851970:DDL851970 DNG851970:DNH851970 DXC851970:DXD851970 EGY851970:EGZ851970 EQU851970:EQV851970 FAQ851970:FAR851970 FKM851970:FKN851970 FUI851970:FUJ851970 GEE851970:GEF851970 GOA851970:GOB851970 GXW851970:GXX851970 HHS851970:HHT851970 HRO851970:HRP851970 IBK851970:IBL851970 ILG851970:ILH851970 IVC851970:IVD851970 JEY851970:JEZ851970 JOU851970:JOV851970 JYQ851970:JYR851970 KIM851970:KIN851970 KSI851970:KSJ851970 LCE851970:LCF851970 LMA851970:LMB851970 LVW851970:LVX851970 MFS851970:MFT851970 MPO851970:MPP851970 MZK851970:MZL851970 NJG851970:NJH851970 NTC851970:NTD851970 OCY851970:OCZ851970 OMU851970:OMV851970 OWQ851970:OWR851970 PGM851970:PGN851970 PQI851970:PQJ851970 QAE851970:QAF851970 QKA851970:QKB851970 QTW851970:QTX851970 RDS851970:RDT851970 RNO851970:RNP851970 RXK851970:RXL851970 SHG851970:SHH851970 SRC851970:SRD851970 TAY851970:TAZ851970 TKU851970:TKV851970 TUQ851970:TUR851970 UEM851970:UEN851970 UOI851970:UOJ851970 UYE851970:UYF851970 VIA851970:VIB851970 VRW851970:VRX851970 WBS851970:WBT851970 WLO851970:WLP851970 WVK851970:WVL851970 C917506:D917506 IY917506:IZ917506 SU917506:SV917506 ACQ917506:ACR917506 AMM917506:AMN917506 AWI917506:AWJ917506 BGE917506:BGF917506 BQA917506:BQB917506 BZW917506:BZX917506 CJS917506:CJT917506 CTO917506:CTP917506 DDK917506:DDL917506 DNG917506:DNH917506 DXC917506:DXD917506 EGY917506:EGZ917506 EQU917506:EQV917506 FAQ917506:FAR917506 FKM917506:FKN917506 FUI917506:FUJ917506 GEE917506:GEF917506 GOA917506:GOB917506 GXW917506:GXX917506 HHS917506:HHT917506 HRO917506:HRP917506 IBK917506:IBL917506 ILG917506:ILH917506 IVC917506:IVD917506 JEY917506:JEZ917506 JOU917506:JOV917506 JYQ917506:JYR917506 KIM917506:KIN917506 KSI917506:KSJ917506 LCE917506:LCF917506 LMA917506:LMB917506 LVW917506:LVX917506 MFS917506:MFT917506 MPO917506:MPP917506 MZK917506:MZL917506 NJG917506:NJH917506 NTC917506:NTD917506 OCY917506:OCZ917506 OMU917506:OMV917506 OWQ917506:OWR917506 PGM917506:PGN917506 PQI917506:PQJ917506 QAE917506:QAF917506 QKA917506:QKB917506 QTW917506:QTX917506 RDS917506:RDT917506 RNO917506:RNP917506 RXK917506:RXL917506 SHG917506:SHH917506 SRC917506:SRD917506 TAY917506:TAZ917506 TKU917506:TKV917506 TUQ917506:TUR917506 UEM917506:UEN917506 UOI917506:UOJ917506 UYE917506:UYF917506 VIA917506:VIB917506 VRW917506:VRX917506 WBS917506:WBT917506 WLO917506:WLP917506 WVK917506:WVL917506 C983042:D983042 IY983042:IZ983042 SU983042:SV983042 ACQ983042:ACR983042 AMM983042:AMN983042 AWI983042:AWJ983042 BGE983042:BGF983042 BQA983042:BQB983042 BZW983042:BZX983042 CJS983042:CJT983042 CTO983042:CTP983042 DDK983042:DDL983042 DNG983042:DNH983042 DXC983042:DXD983042 EGY983042:EGZ983042 EQU983042:EQV983042 FAQ983042:FAR983042 FKM983042:FKN983042 FUI983042:FUJ983042 GEE983042:GEF983042 GOA983042:GOB983042 GXW983042:GXX983042 HHS983042:HHT983042 HRO983042:HRP983042 IBK983042:IBL983042 ILG983042:ILH983042 IVC983042:IVD983042 JEY983042:JEZ983042 JOU983042:JOV983042 JYQ983042:JYR983042 KIM983042:KIN983042 KSI983042:KSJ983042 LCE983042:LCF983042 LMA983042:LMB983042 LVW983042:LVX983042 MFS983042:MFT983042 MPO983042:MPP983042 MZK983042:MZL983042 NJG983042:NJH983042 NTC983042:NTD983042 OCY983042:OCZ983042 OMU983042:OMV983042 OWQ983042:OWR983042 PGM983042:PGN983042 PQI983042:PQJ983042 QAE983042:QAF983042 QKA983042:QKB983042 QTW983042:QTX983042 RDS983042:RDT983042 RNO983042:RNP983042 RXK983042:RXL983042 SHG983042:SHH983042 SRC983042:SRD983042 TAY983042:TAZ983042 TKU983042:TKV983042 TUQ983042:TUR983042 UEM983042:UEN983042 UOI983042:UOJ983042 UYE983042:UYF983042 VIA983042:VIB983042 VRW983042:VRX983042 WBS983042:WBT983042 WLO983042:WLP983042 WVK983042:WVL983042</xm:sqref>
        </x14:dataValidation>
        <x14:dataValidation allowBlank="1" showInputMessage="1" prompt="Calendar year is automatically updated based on the year selected in cell B2" xr:uid="{8ED82934-2E55-44E7-B01A-2725CFF8BEC8}">
          <xm:sqref>B18 IX18 ST18 ACP18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B65554 IX65554 ST65554 ACP65554 AML65554 AWH65554 BGD65554 BPZ65554 BZV65554 CJR65554 CTN65554 DDJ65554 DNF65554 DXB65554 EGX65554 EQT65554 FAP65554 FKL65554 FUH65554 GED65554 GNZ65554 GXV65554 HHR65554 HRN65554 IBJ65554 ILF65554 IVB65554 JEX65554 JOT65554 JYP65554 KIL65554 KSH65554 LCD65554 LLZ65554 LVV65554 MFR65554 MPN65554 MZJ65554 NJF65554 NTB65554 OCX65554 OMT65554 OWP65554 PGL65554 PQH65554 QAD65554 QJZ65554 QTV65554 RDR65554 RNN65554 RXJ65554 SHF65554 SRB65554 TAX65554 TKT65554 TUP65554 UEL65554 UOH65554 UYD65554 VHZ65554 VRV65554 WBR65554 WLN65554 WVJ65554 B131090 IX131090 ST131090 ACP131090 AML131090 AWH131090 BGD131090 BPZ131090 BZV131090 CJR131090 CTN131090 DDJ131090 DNF131090 DXB131090 EGX131090 EQT131090 FAP131090 FKL131090 FUH131090 GED131090 GNZ131090 GXV131090 HHR131090 HRN131090 IBJ131090 ILF131090 IVB131090 JEX131090 JOT131090 JYP131090 KIL131090 KSH131090 LCD131090 LLZ131090 LVV131090 MFR131090 MPN131090 MZJ131090 NJF131090 NTB131090 OCX131090 OMT131090 OWP131090 PGL131090 PQH131090 QAD131090 QJZ131090 QTV131090 RDR131090 RNN131090 RXJ131090 SHF131090 SRB131090 TAX131090 TKT131090 TUP131090 UEL131090 UOH131090 UYD131090 VHZ131090 VRV131090 WBR131090 WLN131090 WVJ131090 B196626 IX196626 ST196626 ACP196626 AML196626 AWH196626 BGD196626 BPZ196626 BZV196626 CJR196626 CTN196626 DDJ196626 DNF196626 DXB196626 EGX196626 EQT196626 FAP196626 FKL196626 FUH196626 GED196626 GNZ196626 GXV196626 HHR196626 HRN196626 IBJ196626 ILF196626 IVB196626 JEX196626 JOT196626 JYP196626 KIL196626 KSH196626 LCD196626 LLZ196626 LVV196626 MFR196626 MPN196626 MZJ196626 NJF196626 NTB196626 OCX196626 OMT196626 OWP196626 PGL196626 PQH196626 QAD196626 QJZ196626 QTV196626 RDR196626 RNN196626 RXJ196626 SHF196626 SRB196626 TAX196626 TKT196626 TUP196626 UEL196626 UOH196626 UYD196626 VHZ196626 VRV196626 WBR196626 WLN196626 WVJ196626 B262162 IX262162 ST262162 ACP262162 AML262162 AWH262162 BGD262162 BPZ262162 BZV262162 CJR262162 CTN262162 DDJ262162 DNF262162 DXB262162 EGX262162 EQT262162 FAP262162 FKL262162 FUH262162 GED262162 GNZ262162 GXV262162 HHR262162 HRN262162 IBJ262162 ILF262162 IVB262162 JEX262162 JOT262162 JYP262162 KIL262162 KSH262162 LCD262162 LLZ262162 LVV262162 MFR262162 MPN262162 MZJ262162 NJF262162 NTB262162 OCX262162 OMT262162 OWP262162 PGL262162 PQH262162 QAD262162 QJZ262162 QTV262162 RDR262162 RNN262162 RXJ262162 SHF262162 SRB262162 TAX262162 TKT262162 TUP262162 UEL262162 UOH262162 UYD262162 VHZ262162 VRV262162 WBR262162 WLN262162 WVJ262162 B327698 IX327698 ST327698 ACP327698 AML327698 AWH327698 BGD327698 BPZ327698 BZV327698 CJR327698 CTN327698 DDJ327698 DNF327698 DXB327698 EGX327698 EQT327698 FAP327698 FKL327698 FUH327698 GED327698 GNZ327698 GXV327698 HHR327698 HRN327698 IBJ327698 ILF327698 IVB327698 JEX327698 JOT327698 JYP327698 KIL327698 KSH327698 LCD327698 LLZ327698 LVV327698 MFR327698 MPN327698 MZJ327698 NJF327698 NTB327698 OCX327698 OMT327698 OWP327698 PGL327698 PQH327698 QAD327698 QJZ327698 QTV327698 RDR327698 RNN327698 RXJ327698 SHF327698 SRB327698 TAX327698 TKT327698 TUP327698 UEL327698 UOH327698 UYD327698 VHZ327698 VRV327698 WBR327698 WLN327698 WVJ327698 B393234 IX393234 ST393234 ACP393234 AML393234 AWH393234 BGD393234 BPZ393234 BZV393234 CJR393234 CTN393234 DDJ393234 DNF393234 DXB393234 EGX393234 EQT393234 FAP393234 FKL393234 FUH393234 GED393234 GNZ393234 GXV393234 HHR393234 HRN393234 IBJ393234 ILF393234 IVB393234 JEX393234 JOT393234 JYP393234 KIL393234 KSH393234 LCD393234 LLZ393234 LVV393234 MFR393234 MPN393234 MZJ393234 NJF393234 NTB393234 OCX393234 OMT393234 OWP393234 PGL393234 PQH393234 QAD393234 QJZ393234 QTV393234 RDR393234 RNN393234 RXJ393234 SHF393234 SRB393234 TAX393234 TKT393234 TUP393234 UEL393234 UOH393234 UYD393234 VHZ393234 VRV393234 WBR393234 WLN393234 WVJ393234 B458770 IX458770 ST458770 ACP458770 AML458770 AWH458770 BGD458770 BPZ458770 BZV458770 CJR458770 CTN458770 DDJ458770 DNF458770 DXB458770 EGX458770 EQT458770 FAP458770 FKL458770 FUH458770 GED458770 GNZ458770 GXV458770 HHR458770 HRN458770 IBJ458770 ILF458770 IVB458770 JEX458770 JOT458770 JYP458770 KIL458770 KSH458770 LCD458770 LLZ458770 LVV458770 MFR458770 MPN458770 MZJ458770 NJF458770 NTB458770 OCX458770 OMT458770 OWP458770 PGL458770 PQH458770 QAD458770 QJZ458770 QTV458770 RDR458770 RNN458770 RXJ458770 SHF458770 SRB458770 TAX458770 TKT458770 TUP458770 UEL458770 UOH458770 UYD458770 VHZ458770 VRV458770 WBR458770 WLN458770 WVJ458770 B524306 IX524306 ST524306 ACP524306 AML524306 AWH524306 BGD524306 BPZ524306 BZV524306 CJR524306 CTN524306 DDJ524306 DNF524306 DXB524306 EGX524306 EQT524306 FAP524306 FKL524306 FUH524306 GED524306 GNZ524306 GXV524306 HHR524306 HRN524306 IBJ524306 ILF524306 IVB524306 JEX524306 JOT524306 JYP524306 KIL524306 KSH524306 LCD524306 LLZ524306 LVV524306 MFR524306 MPN524306 MZJ524306 NJF524306 NTB524306 OCX524306 OMT524306 OWP524306 PGL524306 PQH524306 QAD524306 QJZ524306 QTV524306 RDR524306 RNN524306 RXJ524306 SHF524306 SRB524306 TAX524306 TKT524306 TUP524306 UEL524306 UOH524306 UYD524306 VHZ524306 VRV524306 WBR524306 WLN524306 WVJ524306 B589842 IX589842 ST589842 ACP589842 AML589842 AWH589842 BGD589842 BPZ589842 BZV589842 CJR589842 CTN589842 DDJ589842 DNF589842 DXB589842 EGX589842 EQT589842 FAP589842 FKL589842 FUH589842 GED589842 GNZ589842 GXV589842 HHR589842 HRN589842 IBJ589842 ILF589842 IVB589842 JEX589842 JOT589842 JYP589842 KIL589842 KSH589842 LCD589842 LLZ589842 LVV589842 MFR589842 MPN589842 MZJ589842 NJF589842 NTB589842 OCX589842 OMT589842 OWP589842 PGL589842 PQH589842 QAD589842 QJZ589842 QTV589842 RDR589842 RNN589842 RXJ589842 SHF589842 SRB589842 TAX589842 TKT589842 TUP589842 UEL589842 UOH589842 UYD589842 VHZ589842 VRV589842 WBR589842 WLN589842 WVJ589842 B655378 IX655378 ST655378 ACP655378 AML655378 AWH655378 BGD655378 BPZ655378 BZV655378 CJR655378 CTN655378 DDJ655378 DNF655378 DXB655378 EGX655378 EQT655378 FAP655378 FKL655378 FUH655378 GED655378 GNZ655378 GXV655378 HHR655378 HRN655378 IBJ655378 ILF655378 IVB655378 JEX655378 JOT655378 JYP655378 KIL655378 KSH655378 LCD655378 LLZ655378 LVV655378 MFR655378 MPN655378 MZJ655378 NJF655378 NTB655378 OCX655378 OMT655378 OWP655378 PGL655378 PQH655378 QAD655378 QJZ655378 QTV655378 RDR655378 RNN655378 RXJ655378 SHF655378 SRB655378 TAX655378 TKT655378 TUP655378 UEL655378 UOH655378 UYD655378 VHZ655378 VRV655378 WBR655378 WLN655378 WVJ655378 B720914 IX720914 ST720914 ACP720914 AML720914 AWH720914 BGD720914 BPZ720914 BZV720914 CJR720914 CTN720914 DDJ720914 DNF720914 DXB720914 EGX720914 EQT720914 FAP720914 FKL720914 FUH720914 GED720914 GNZ720914 GXV720914 HHR720914 HRN720914 IBJ720914 ILF720914 IVB720914 JEX720914 JOT720914 JYP720914 KIL720914 KSH720914 LCD720914 LLZ720914 LVV720914 MFR720914 MPN720914 MZJ720914 NJF720914 NTB720914 OCX720914 OMT720914 OWP720914 PGL720914 PQH720914 QAD720914 QJZ720914 QTV720914 RDR720914 RNN720914 RXJ720914 SHF720914 SRB720914 TAX720914 TKT720914 TUP720914 UEL720914 UOH720914 UYD720914 VHZ720914 VRV720914 WBR720914 WLN720914 WVJ720914 B786450 IX786450 ST786450 ACP786450 AML786450 AWH786450 BGD786450 BPZ786450 BZV786450 CJR786450 CTN786450 DDJ786450 DNF786450 DXB786450 EGX786450 EQT786450 FAP786450 FKL786450 FUH786450 GED786450 GNZ786450 GXV786450 HHR786450 HRN786450 IBJ786450 ILF786450 IVB786450 JEX786450 JOT786450 JYP786450 KIL786450 KSH786450 LCD786450 LLZ786450 LVV786450 MFR786450 MPN786450 MZJ786450 NJF786450 NTB786450 OCX786450 OMT786450 OWP786450 PGL786450 PQH786450 QAD786450 QJZ786450 QTV786450 RDR786450 RNN786450 RXJ786450 SHF786450 SRB786450 TAX786450 TKT786450 TUP786450 UEL786450 UOH786450 UYD786450 VHZ786450 VRV786450 WBR786450 WLN786450 WVJ786450 B851986 IX851986 ST851986 ACP851986 AML851986 AWH851986 BGD851986 BPZ851986 BZV851986 CJR851986 CTN851986 DDJ851986 DNF851986 DXB851986 EGX851986 EQT851986 FAP851986 FKL851986 FUH851986 GED851986 GNZ851986 GXV851986 HHR851986 HRN851986 IBJ851986 ILF851986 IVB851986 JEX851986 JOT851986 JYP851986 KIL851986 KSH851986 LCD851986 LLZ851986 LVV851986 MFR851986 MPN851986 MZJ851986 NJF851986 NTB851986 OCX851986 OMT851986 OWP851986 PGL851986 PQH851986 QAD851986 QJZ851986 QTV851986 RDR851986 RNN851986 RXJ851986 SHF851986 SRB851986 TAX851986 TKT851986 TUP851986 UEL851986 UOH851986 UYD851986 VHZ851986 VRV851986 WBR851986 WLN851986 WVJ851986 B917522 IX917522 ST917522 ACP917522 AML917522 AWH917522 BGD917522 BPZ917522 BZV917522 CJR917522 CTN917522 DDJ917522 DNF917522 DXB917522 EGX917522 EQT917522 FAP917522 FKL917522 FUH917522 GED917522 GNZ917522 GXV917522 HHR917522 HRN917522 IBJ917522 ILF917522 IVB917522 JEX917522 JOT917522 JYP917522 KIL917522 KSH917522 LCD917522 LLZ917522 LVV917522 MFR917522 MPN917522 MZJ917522 NJF917522 NTB917522 OCX917522 OMT917522 OWP917522 PGL917522 PQH917522 QAD917522 QJZ917522 QTV917522 RDR917522 RNN917522 RXJ917522 SHF917522 SRB917522 TAX917522 TKT917522 TUP917522 UEL917522 UOH917522 UYD917522 VHZ917522 VRV917522 WBR917522 WLN917522 WVJ917522 B983058 IX983058 ST983058 ACP983058 AML983058 AWH983058 BGD983058 BPZ983058 BZV983058 CJR983058 CTN983058 DDJ983058 DNF983058 DXB983058 EGX983058 EQT983058 FAP983058 FKL983058 FUH983058 GED983058 GNZ983058 GXV983058 HHR983058 HRN983058 IBJ983058 ILF983058 IVB983058 JEX983058 JOT983058 JYP983058 KIL983058 KSH983058 LCD983058 LLZ983058 LVV983058 MFR983058 MPN983058 MZJ983058 NJF983058 NTB983058 OCX983058 OMT983058 OWP983058 PGL983058 PQH983058 QAD983058 QJZ983058 QTV983058 RDR983058 RNN983058 RXJ983058 SHF983058 SRB983058 TAX983058 TKT983058 TUP983058 UEL983058 UOH983058 UYD983058 VHZ983058 VRV983058 WBR983058 WLN983058 WVJ983058 B178 IX178 ST178 ACP178 AML178 AWH178 BGD178 BPZ178 BZV178 CJR178 CTN178 DDJ178 DNF178 DXB178 EGX178 EQT178 FAP178 FKL178 FUH178 GED178 GNZ178 GXV178 HHR178 HRN178 IBJ178 ILF178 IVB178 JEX178 JOT178 JYP178 KIL178 KSH178 LCD178 LLZ178 LVV178 MFR178 MPN178 MZJ178 NJF178 NTB178 OCX178 OMT178 OWP178 PGL178 PQH178 QAD178 QJZ178 QTV178 RDR178 RNN178 RXJ178 SHF178 SRB178 TAX178 TKT178 TUP178 UEL178 UOH178 UYD178 VHZ178 VRV178 WBR178 WLN178 WVJ178 B65714 IX65714 ST65714 ACP65714 AML65714 AWH65714 BGD65714 BPZ65714 BZV65714 CJR65714 CTN65714 DDJ65714 DNF65714 DXB65714 EGX65714 EQT65714 FAP65714 FKL65714 FUH65714 GED65714 GNZ65714 GXV65714 HHR65714 HRN65714 IBJ65714 ILF65714 IVB65714 JEX65714 JOT65714 JYP65714 KIL65714 KSH65714 LCD65714 LLZ65714 LVV65714 MFR65714 MPN65714 MZJ65714 NJF65714 NTB65714 OCX65714 OMT65714 OWP65714 PGL65714 PQH65714 QAD65714 QJZ65714 QTV65714 RDR65714 RNN65714 RXJ65714 SHF65714 SRB65714 TAX65714 TKT65714 TUP65714 UEL65714 UOH65714 UYD65714 VHZ65714 VRV65714 WBR65714 WLN65714 WVJ65714 B131250 IX131250 ST131250 ACP131250 AML131250 AWH131250 BGD131250 BPZ131250 BZV131250 CJR131250 CTN131250 DDJ131250 DNF131250 DXB131250 EGX131250 EQT131250 FAP131250 FKL131250 FUH131250 GED131250 GNZ131250 GXV131250 HHR131250 HRN131250 IBJ131250 ILF131250 IVB131250 JEX131250 JOT131250 JYP131250 KIL131250 KSH131250 LCD131250 LLZ131250 LVV131250 MFR131250 MPN131250 MZJ131250 NJF131250 NTB131250 OCX131250 OMT131250 OWP131250 PGL131250 PQH131250 QAD131250 QJZ131250 QTV131250 RDR131250 RNN131250 RXJ131250 SHF131250 SRB131250 TAX131250 TKT131250 TUP131250 UEL131250 UOH131250 UYD131250 VHZ131250 VRV131250 WBR131250 WLN131250 WVJ131250 B196786 IX196786 ST196786 ACP196786 AML196786 AWH196786 BGD196786 BPZ196786 BZV196786 CJR196786 CTN196786 DDJ196786 DNF196786 DXB196786 EGX196786 EQT196786 FAP196786 FKL196786 FUH196786 GED196786 GNZ196786 GXV196786 HHR196786 HRN196786 IBJ196786 ILF196786 IVB196786 JEX196786 JOT196786 JYP196786 KIL196786 KSH196786 LCD196786 LLZ196786 LVV196786 MFR196786 MPN196786 MZJ196786 NJF196786 NTB196786 OCX196786 OMT196786 OWP196786 PGL196786 PQH196786 QAD196786 QJZ196786 QTV196786 RDR196786 RNN196786 RXJ196786 SHF196786 SRB196786 TAX196786 TKT196786 TUP196786 UEL196786 UOH196786 UYD196786 VHZ196786 VRV196786 WBR196786 WLN196786 WVJ196786 B262322 IX262322 ST262322 ACP262322 AML262322 AWH262322 BGD262322 BPZ262322 BZV262322 CJR262322 CTN262322 DDJ262322 DNF262322 DXB262322 EGX262322 EQT262322 FAP262322 FKL262322 FUH262322 GED262322 GNZ262322 GXV262322 HHR262322 HRN262322 IBJ262322 ILF262322 IVB262322 JEX262322 JOT262322 JYP262322 KIL262322 KSH262322 LCD262322 LLZ262322 LVV262322 MFR262322 MPN262322 MZJ262322 NJF262322 NTB262322 OCX262322 OMT262322 OWP262322 PGL262322 PQH262322 QAD262322 QJZ262322 QTV262322 RDR262322 RNN262322 RXJ262322 SHF262322 SRB262322 TAX262322 TKT262322 TUP262322 UEL262322 UOH262322 UYD262322 VHZ262322 VRV262322 WBR262322 WLN262322 WVJ262322 B327858 IX327858 ST327858 ACP327858 AML327858 AWH327858 BGD327858 BPZ327858 BZV327858 CJR327858 CTN327858 DDJ327858 DNF327858 DXB327858 EGX327858 EQT327858 FAP327858 FKL327858 FUH327858 GED327858 GNZ327858 GXV327858 HHR327858 HRN327858 IBJ327858 ILF327858 IVB327858 JEX327858 JOT327858 JYP327858 KIL327858 KSH327858 LCD327858 LLZ327858 LVV327858 MFR327858 MPN327858 MZJ327858 NJF327858 NTB327858 OCX327858 OMT327858 OWP327858 PGL327858 PQH327858 QAD327858 QJZ327858 QTV327858 RDR327858 RNN327858 RXJ327858 SHF327858 SRB327858 TAX327858 TKT327858 TUP327858 UEL327858 UOH327858 UYD327858 VHZ327858 VRV327858 WBR327858 WLN327858 WVJ327858 B393394 IX393394 ST393394 ACP393394 AML393394 AWH393394 BGD393394 BPZ393394 BZV393394 CJR393394 CTN393394 DDJ393394 DNF393394 DXB393394 EGX393394 EQT393394 FAP393394 FKL393394 FUH393394 GED393394 GNZ393394 GXV393394 HHR393394 HRN393394 IBJ393394 ILF393394 IVB393394 JEX393394 JOT393394 JYP393394 KIL393394 KSH393394 LCD393394 LLZ393394 LVV393394 MFR393394 MPN393394 MZJ393394 NJF393394 NTB393394 OCX393394 OMT393394 OWP393394 PGL393394 PQH393394 QAD393394 QJZ393394 QTV393394 RDR393394 RNN393394 RXJ393394 SHF393394 SRB393394 TAX393394 TKT393394 TUP393394 UEL393394 UOH393394 UYD393394 VHZ393394 VRV393394 WBR393394 WLN393394 WVJ393394 B458930 IX458930 ST458930 ACP458930 AML458930 AWH458930 BGD458930 BPZ458930 BZV458930 CJR458930 CTN458930 DDJ458930 DNF458930 DXB458930 EGX458930 EQT458930 FAP458930 FKL458930 FUH458930 GED458930 GNZ458930 GXV458930 HHR458930 HRN458930 IBJ458930 ILF458930 IVB458930 JEX458930 JOT458930 JYP458930 KIL458930 KSH458930 LCD458930 LLZ458930 LVV458930 MFR458930 MPN458930 MZJ458930 NJF458930 NTB458930 OCX458930 OMT458930 OWP458930 PGL458930 PQH458930 QAD458930 QJZ458930 QTV458930 RDR458930 RNN458930 RXJ458930 SHF458930 SRB458930 TAX458930 TKT458930 TUP458930 UEL458930 UOH458930 UYD458930 VHZ458930 VRV458930 WBR458930 WLN458930 WVJ458930 B524466 IX524466 ST524466 ACP524466 AML524466 AWH524466 BGD524466 BPZ524466 BZV524466 CJR524466 CTN524466 DDJ524466 DNF524466 DXB524466 EGX524466 EQT524466 FAP524466 FKL524466 FUH524466 GED524466 GNZ524466 GXV524466 HHR524466 HRN524466 IBJ524466 ILF524466 IVB524466 JEX524466 JOT524466 JYP524466 KIL524466 KSH524466 LCD524466 LLZ524466 LVV524466 MFR524466 MPN524466 MZJ524466 NJF524466 NTB524466 OCX524466 OMT524466 OWP524466 PGL524466 PQH524466 QAD524466 QJZ524466 QTV524466 RDR524466 RNN524466 RXJ524466 SHF524466 SRB524466 TAX524466 TKT524466 TUP524466 UEL524466 UOH524466 UYD524466 VHZ524466 VRV524466 WBR524466 WLN524466 WVJ524466 B590002 IX590002 ST590002 ACP590002 AML590002 AWH590002 BGD590002 BPZ590002 BZV590002 CJR590002 CTN590002 DDJ590002 DNF590002 DXB590002 EGX590002 EQT590002 FAP590002 FKL590002 FUH590002 GED590002 GNZ590002 GXV590002 HHR590002 HRN590002 IBJ590002 ILF590002 IVB590002 JEX590002 JOT590002 JYP590002 KIL590002 KSH590002 LCD590002 LLZ590002 LVV590002 MFR590002 MPN590002 MZJ590002 NJF590002 NTB590002 OCX590002 OMT590002 OWP590002 PGL590002 PQH590002 QAD590002 QJZ590002 QTV590002 RDR590002 RNN590002 RXJ590002 SHF590002 SRB590002 TAX590002 TKT590002 TUP590002 UEL590002 UOH590002 UYD590002 VHZ590002 VRV590002 WBR590002 WLN590002 WVJ590002 B655538 IX655538 ST655538 ACP655538 AML655538 AWH655538 BGD655538 BPZ655538 BZV655538 CJR655538 CTN655538 DDJ655538 DNF655538 DXB655538 EGX655538 EQT655538 FAP655538 FKL655538 FUH655538 GED655538 GNZ655538 GXV655538 HHR655538 HRN655538 IBJ655538 ILF655538 IVB655538 JEX655538 JOT655538 JYP655538 KIL655538 KSH655538 LCD655538 LLZ655538 LVV655538 MFR655538 MPN655538 MZJ655538 NJF655538 NTB655538 OCX655538 OMT655538 OWP655538 PGL655538 PQH655538 QAD655538 QJZ655538 QTV655538 RDR655538 RNN655538 RXJ655538 SHF655538 SRB655538 TAX655538 TKT655538 TUP655538 UEL655538 UOH655538 UYD655538 VHZ655538 VRV655538 WBR655538 WLN655538 WVJ655538 B721074 IX721074 ST721074 ACP721074 AML721074 AWH721074 BGD721074 BPZ721074 BZV721074 CJR721074 CTN721074 DDJ721074 DNF721074 DXB721074 EGX721074 EQT721074 FAP721074 FKL721074 FUH721074 GED721074 GNZ721074 GXV721074 HHR721074 HRN721074 IBJ721074 ILF721074 IVB721074 JEX721074 JOT721074 JYP721074 KIL721074 KSH721074 LCD721074 LLZ721074 LVV721074 MFR721074 MPN721074 MZJ721074 NJF721074 NTB721074 OCX721074 OMT721074 OWP721074 PGL721074 PQH721074 QAD721074 QJZ721074 QTV721074 RDR721074 RNN721074 RXJ721074 SHF721074 SRB721074 TAX721074 TKT721074 TUP721074 UEL721074 UOH721074 UYD721074 VHZ721074 VRV721074 WBR721074 WLN721074 WVJ721074 B786610 IX786610 ST786610 ACP786610 AML786610 AWH786610 BGD786610 BPZ786610 BZV786610 CJR786610 CTN786610 DDJ786610 DNF786610 DXB786610 EGX786610 EQT786610 FAP786610 FKL786610 FUH786610 GED786610 GNZ786610 GXV786610 HHR786610 HRN786610 IBJ786610 ILF786610 IVB786610 JEX786610 JOT786610 JYP786610 KIL786610 KSH786610 LCD786610 LLZ786610 LVV786610 MFR786610 MPN786610 MZJ786610 NJF786610 NTB786610 OCX786610 OMT786610 OWP786610 PGL786610 PQH786610 QAD786610 QJZ786610 QTV786610 RDR786610 RNN786610 RXJ786610 SHF786610 SRB786610 TAX786610 TKT786610 TUP786610 UEL786610 UOH786610 UYD786610 VHZ786610 VRV786610 WBR786610 WLN786610 WVJ786610 B852146 IX852146 ST852146 ACP852146 AML852146 AWH852146 BGD852146 BPZ852146 BZV852146 CJR852146 CTN852146 DDJ852146 DNF852146 DXB852146 EGX852146 EQT852146 FAP852146 FKL852146 FUH852146 GED852146 GNZ852146 GXV852146 HHR852146 HRN852146 IBJ852146 ILF852146 IVB852146 JEX852146 JOT852146 JYP852146 KIL852146 KSH852146 LCD852146 LLZ852146 LVV852146 MFR852146 MPN852146 MZJ852146 NJF852146 NTB852146 OCX852146 OMT852146 OWP852146 PGL852146 PQH852146 QAD852146 QJZ852146 QTV852146 RDR852146 RNN852146 RXJ852146 SHF852146 SRB852146 TAX852146 TKT852146 TUP852146 UEL852146 UOH852146 UYD852146 VHZ852146 VRV852146 WBR852146 WLN852146 WVJ852146 B917682 IX917682 ST917682 ACP917682 AML917682 AWH917682 BGD917682 BPZ917682 BZV917682 CJR917682 CTN917682 DDJ917682 DNF917682 DXB917682 EGX917682 EQT917682 FAP917682 FKL917682 FUH917682 GED917682 GNZ917682 GXV917682 HHR917682 HRN917682 IBJ917682 ILF917682 IVB917682 JEX917682 JOT917682 JYP917682 KIL917682 KSH917682 LCD917682 LLZ917682 LVV917682 MFR917682 MPN917682 MZJ917682 NJF917682 NTB917682 OCX917682 OMT917682 OWP917682 PGL917682 PQH917682 QAD917682 QJZ917682 QTV917682 RDR917682 RNN917682 RXJ917682 SHF917682 SRB917682 TAX917682 TKT917682 TUP917682 UEL917682 UOH917682 UYD917682 VHZ917682 VRV917682 WBR917682 WLN917682 WVJ917682 B983218 IX983218 ST983218 ACP983218 AML983218 AWH983218 BGD983218 BPZ983218 BZV983218 CJR983218 CTN983218 DDJ983218 DNF983218 DXB983218 EGX983218 EQT983218 FAP983218 FKL983218 FUH983218 GED983218 GNZ983218 GXV983218 HHR983218 HRN983218 IBJ983218 ILF983218 IVB983218 JEX983218 JOT983218 JYP983218 KIL983218 KSH983218 LCD983218 LLZ983218 LVV983218 MFR983218 MPN983218 MZJ983218 NJF983218 NTB983218 OCX983218 OMT983218 OWP983218 PGL983218 PQH983218 QAD983218 QJZ983218 QTV983218 RDR983218 RNN983218 RXJ983218 SHF983218 SRB983218 TAX983218 TKT983218 TUP983218 UEL983218 UOH983218 UYD983218 VHZ983218 VRV983218 WBR983218 WLN983218 WVJ983218 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B65570 IX65570 ST65570 ACP65570 AML65570 AWH65570 BGD65570 BPZ65570 BZV65570 CJR65570 CTN65570 DDJ65570 DNF65570 DXB65570 EGX65570 EQT65570 FAP65570 FKL65570 FUH65570 GED65570 GNZ65570 GXV65570 HHR65570 HRN65570 IBJ65570 ILF65570 IVB65570 JEX65570 JOT65570 JYP65570 KIL65570 KSH65570 LCD65570 LLZ65570 LVV65570 MFR65570 MPN65570 MZJ65570 NJF65570 NTB65570 OCX65570 OMT65570 OWP65570 PGL65570 PQH65570 QAD65570 QJZ65570 QTV65570 RDR65570 RNN65570 RXJ65570 SHF65570 SRB65570 TAX65570 TKT65570 TUP65570 UEL65570 UOH65570 UYD65570 VHZ65570 VRV65570 WBR65570 WLN65570 WVJ65570 B131106 IX131106 ST131106 ACP131106 AML131106 AWH131106 BGD131106 BPZ131106 BZV131106 CJR131106 CTN131106 DDJ131106 DNF131106 DXB131106 EGX131106 EQT131106 FAP131106 FKL131106 FUH131106 GED131106 GNZ131106 GXV131106 HHR131106 HRN131106 IBJ131106 ILF131106 IVB131106 JEX131106 JOT131106 JYP131106 KIL131106 KSH131106 LCD131106 LLZ131106 LVV131106 MFR131106 MPN131106 MZJ131106 NJF131106 NTB131106 OCX131106 OMT131106 OWP131106 PGL131106 PQH131106 QAD131106 QJZ131106 QTV131106 RDR131106 RNN131106 RXJ131106 SHF131106 SRB131106 TAX131106 TKT131106 TUP131106 UEL131106 UOH131106 UYD131106 VHZ131106 VRV131106 WBR131106 WLN131106 WVJ131106 B196642 IX196642 ST196642 ACP196642 AML196642 AWH196642 BGD196642 BPZ196642 BZV196642 CJR196642 CTN196642 DDJ196642 DNF196642 DXB196642 EGX196642 EQT196642 FAP196642 FKL196642 FUH196642 GED196642 GNZ196642 GXV196642 HHR196642 HRN196642 IBJ196642 ILF196642 IVB196642 JEX196642 JOT196642 JYP196642 KIL196642 KSH196642 LCD196642 LLZ196642 LVV196642 MFR196642 MPN196642 MZJ196642 NJF196642 NTB196642 OCX196642 OMT196642 OWP196642 PGL196642 PQH196642 QAD196642 QJZ196642 QTV196642 RDR196642 RNN196642 RXJ196642 SHF196642 SRB196642 TAX196642 TKT196642 TUP196642 UEL196642 UOH196642 UYD196642 VHZ196642 VRV196642 WBR196642 WLN196642 WVJ196642 B262178 IX262178 ST262178 ACP262178 AML262178 AWH262178 BGD262178 BPZ262178 BZV262178 CJR262178 CTN262178 DDJ262178 DNF262178 DXB262178 EGX262178 EQT262178 FAP262178 FKL262178 FUH262178 GED262178 GNZ262178 GXV262178 HHR262178 HRN262178 IBJ262178 ILF262178 IVB262178 JEX262178 JOT262178 JYP262178 KIL262178 KSH262178 LCD262178 LLZ262178 LVV262178 MFR262178 MPN262178 MZJ262178 NJF262178 NTB262178 OCX262178 OMT262178 OWP262178 PGL262178 PQH262178 QAD262178 QJZ262178 QTV262178 RDR262178 RNN262178 RXJ262178 SHF262178 SRB262178 TAX262178 TKT262178 TUP262178 UEL262178 UOH262178 UYD262178 VHZ262178 VRV262178 WBR262178 WLN262178 WVJ262178 B327714 IX327714 ST327714 ACP327714 AML327714 AWH327714 BGD327714 BPZ327714 BZV327714 CJR327714 CTN327714 DDJ327714 DNF327714 DXB327714 EGX327714 EQT327714 FAP327714 FKL327714 FUH327714 GED327714 GNZ327714 GXV327714 HHR327714 HRN327714 IBJ327714 ILF327714 IVB327714 JEX327714 JOT327714 JYP327714 KIL327714 KSH327714 LCD327714 LLZ327714 LVV327714 MFR327714 MPN327714 MZJ327714 NJF327714 NTB327714 OCX327714 OMT327714 OWP327714 PGL327714 PQH327714 QAD327714 QJZ327714 QTV327714 RDR327714 RNN327714 RXJ327714 SHF327714 SRB327714 TAX327714 TKT327714 TUP327714 UEL327714 UOH327714 UYD327714 VHZ327714 VRV327714 WBR327714 WLN327714 WVJ327714 B393250 IX393250 ST393250 ACP393250 AML393250 AWH393250 BGD393250 BPZ393250 BZV393250 CJR393250 CTN393250 DDJ393250 DNF393250 DXB393250 EGX393250 EQT393250 FAP393250 FKL393250 FUH393250 GED393250 GNZ393250 GXV393250 HHR393250 HRN393250 IBJ393250 ILF393250 IVB393250 JEX393250 JOT393250 JYP393250 KIL393250 KSH393250 LCD393250 LLZ393250 LVV393250 MFR393250 MPN393250 MZJ393250 NJF393250 NTB393250 OCX393250 OMT393250 OWP393250 PGL393250 PQH393250 QAD393250 QJZ393250 QTV393250 RDR393250 RNN393250 RXJ393250 SHF393250 SRB393250 TAX393250 TKT393250 TUP393250 UEL393250 UOH393250 UYD393250 VHZ393250 VRV393250 WBR393250 WLN393250 WVJ393250 B458786 IX458786 ST458786 ACP458786 AML458786 AWH458786 BGD458786 BPZ458786 BZV458786 CJR458786 CTN458786 DDJ458786 DNF458786 DXB458786 EGX458786 EQT458786 FAP458786 FKL458786 FUH458786 GED458786 GNZ458786 GXV458786 HHR458786 HRN458786 IBJ458786 ILF458786 IVB458786 JEX458786 JOT458786 JYP458786 KIL458786 KSH458786 LCD458786 LLZ458786 LVV458786 MFR458786 MPN458786 MZJ458786 NJF458786 NTB458786 OCX458786 OMT458786 OWP458786 PGL458786 PQH458786 QAD458786 QJZ458786 QTV458786 RDR458786 RNN458786 RXJ458786 SHF458786 SRB458786 TAX458786 TKT458786 TUP458786 UEL458786 UOH458786 UYD458786 VHZ458786 VRV458786 WBR458786 WLN458786 WVJ458786 B524322 IX524322 ST524322 ACP524322 AML524322 AWH524322 BGD524322 BPZ524322 BZV524322 CJR524322 CTN524322 DDJ524322 DNF524322 DXB524322 EGX524322 EQT524322 FAP524322 FKL524322 FUH524322 GED524322 GNZ524322 GXV524322 HHR524322 HRN524322 IBJ524322 ILF524322 IVB524322 JEX524322 JOT524322 JYP524322 KIL524322 KSH524322 LCD524322 LLZ524322 LVV524322 MFR524322 MPN524322 MZJ524322 NJF524322 NTB524322 OCX524322 OMT524322 OWP524322 PGL524322 PQH524322 QAD524322 QJZ524322 QTV524322 RDR524322 RNN524322 RXJ524322 SHF524322 SRB524322 TAX524322 TKT524322 TUP524322 UEL524322 UOH524322 UYD524322 VHZ524322 VRV524322 WBR524322 WLN524322 WVJ524322 B589858 IX589858 ST589858 ACP589858 AML589858 AWH589858 BGD589858 BPZ589858 BZV589858 CJR589858 CTN589858 DDJ589858 DNF589858 DXB589858 EGX589858 EQT589858 FAP589858 FKL589858 FUH589858 GED589858 GNZ589858 GXV589858 HHR589858 HRN589858 IBJ589858 ILF589858 IVB589858 JEX589858 JOT589858 JYP589858 KIL589858 KSH589858 LCD589858 LLZ589858 LVV589858 MFR589858 MPN589858 MZJ589858 NJF589858 NTB589858 OCX589858 OMT589858 OWP589858 PGL589858 PQH589858 QAD589858 QJZ589858 QTV589858 RDR589858 RNN589858 RXJ589858 SHF589858 SRB589858 TAX589858 TKT589858 TUP589858 UEL589858 UOH589858 UYD589858 VHZ589858 VRV589858 WBR589858 WLN589858 WVJ589858 B655394 IX655394 ST655394 ACP655394 AML655394 AWH655394 BGD655394 BPZ655394 BZV655394 CJR655394 CTN655394 DDJ655394 DNF655394 DXB655394 EGX655394 EQT655394 FAP655394 FKL655394 FUH655394 GED655394 GNZ655394 GXV655394 HHR655394 HRN655394 IBJ655394 ILF655394 IVB655394 JEX655394 JOT655394 JYP655394 KIL655394 KSH655394 LCD655394 LLZ655394 LVV655394 MFR655394 MPN655394 MZJ655394 NJF655394 NTB655394 OCX655394 OMT655394 OWP655394 PGL655394 PQH655394 QAD655394 QJZ655394 QTV655394 RDR655394 RNN655394 RXJ655394 SHF655394 SRB655394 TAX655394 TKT655394 TUP655394 UEL655394 UOH655394 UYD655394 VHZ655394 VRV655394 WBR655394 WLN655394 WVJ655394 B720930 IX720930 ST720930 ACP720930 AML720930 AWH720930 BGD720930 BPZ720930 BZV720930 CJR720930 CTN720930 DDJ720930 DNF720930 DXB720930 EGX720930 EQT720930 FAP720930 FKL720930 FUH720930 GED720930 GNZ720930 GXV720930 HHR720930 HRN720930 IBJ720930 ILF720930 IVB720930 JEX720930 JOT720930 JYP720930 KIL720930 KSH720930 LCD720930 LLZ720930 LVV720930 MFR720930 MPN720930 MZJ720930 NJF720930 NTB720930 OCX720930 OMT720930 OWP720930 PGL720930 PQH720930 QAD720930 QJZ720930 QTV720930 RDR720930 RNN720930 RXJ720930 SHF720930 SRB720930 TAX720930 TKT720930 TUP720930 UEL720930 UOH720930 UYD720930 VHZ720930 VRV720930 WBR720930 WLN720930 WVJ720930 B786466 IX786466 ST786466 ACP786466 AML786466 AWH786466 BGD786466 BPZ786466 BZV786466 CJR786466 CTN786466 DDJ786466 DNF786466 DXB786466 EGX786466 EQT786466 FAP786466 FKL786466 FUH786466 GED786466 GNZ786466 GXV786466 HHR786466 HRN786466 IBJ786466 ILF786466 IVB786466 JEX786466 JOT786466 JYP786466 KIL786466 KSH786466 LCD786466 LLZ786466 LVV786466 MFR786466 MPN786466 MZJ786466 NJF786466 NTB786466 OCX786466 OMT786466 OWP786466 PGL786466 PQH786466 QAD786466 QJZ786466 QTV786466 RDR786466 RNN786466 RXJ786466 SHF786466 SRB786466 TAX786466 TKT786466 TUP786466 UEL786466 UOH786466 UYD786466 VHZ786466 VRV786466 WBR786466 WLN786466 WVJ786466 B852002 IX852002 ST852002 ACP852002 AML852002 AWH852002 BGD852002 BPZ852002 BZV852002 CJR852002 CTN852002 DDJ852002 DNF852002 DXB852002 EGX852002 EQT852002 FAP852002 FKL852002 FUH852002 GED852002 GNZ852002 GXV852002 HHR852002 HRN852002 IBJ852002 ILF852002 IVB852002 JEX852002 JOT852002 JYP852002 KIL852002 KSH852002 LCD852002 LLZ852002 LVV852002 MFR852002 MPN852002 MZJ852002 NJF852002 NTB852002 OCX852002 OMT852002 OWP852002 PGL852002 PQH852002 QAD852002 QJZ852002 QTV852002 RDR852002 RNN852002 RXJ852002 SHF852002 SRB852002 TAX852002 TKT852002 TUP852002 UEL852002 UOH852002 UYD852002 VHZ852002 VRV852002 WBR852002 WLN852002 WVJ852002 B917538 IX917538 ST917538 ACP917538 AML917538 AWH917538 BGD917538 BPZ917538 BZV917538 CJR917538 CTN917538 DDJ917538 DNF917538 DXB917538 EGX917538 EQT917538 FAP917538 FKL917538 FUH917538 GED917538 GNZ917538 GXV917538 HHR917538 HRN917538 IBJ917538 ILF917538 IVB917538 JEX917538 JOT917538 JYP917538 KIL917538 KSH917538 LCD917538 LLZ917538 LVV917538 MFR917538 MPN917538 MZJ917538 NJF917538 NTB917538 OCX917538 OMT917538 OWP917538 PGL917538 PQH917538 QAD917538 QJZ917538 QTV917538 RDR917538 RNN917538 RXJ917538 SHF917538 SRB917538 TAX917538 TKT917538 TUP917538 UEL917538 UOH917538 UYD917538 VHZ917538 VRV917538 WBR917538 WLN917538 WVJ917538 B983074 IX983074 ST983074 ACP983074 AML983074 AWH983074 BGD983074 BPZ983074 BZV983074 CJR983074 CTN983074 DDJ983074 DNF983074 DXB983074 EGX983074 EQT983074 FAP983074 FKL983074 FUH983074 GED983074 GNZ983074 GXV983074 HHR983074 HRN983074 IBJ983074 ILF983074 IVB983074 JEX983074 JOT983074 JYP983074 KIL983074 KSH983074 LCD983074 LLZ983074 LVV983074 MFR983074 MPN983074 MZJ983074 NJF983074 NTB983074 OCX983074 OMT983074 OWP983074 PGL983074 PQH983074 QAD983074 QJZ983074 QTV983074 RDR983074 RNN983074 RXJ983074 SHF983074 SRB983074 TAX983074 TKT983074 TUP983074 UEL983074 UOH983074 UYD983074 VHZ983074 VRV983074 WBR983074 WLN983074 WVJ983074 B50 IX50 ST50 ACP50 AML50 AWH50 BGD50 BPZ50 BZV50 CJR50 CTN50 DDJ50 DNF50 DXB50 EGX50 EQT50 FAP50 FKL50 FUH50 GED50 GNZ50 GXV50 HHR50 HRN50 IBJ50 ILF50 IVB50 JEX50 JOT50 JYP50 KIL50 KSH50 LCD50 LLZ50 LVV50 MFR50 MPN50 MZJ50 NJF50 NTB50 OCX50 OMT50 OWP50 PGL50 PQH50 QAD50 QJZ50 QTV50 RDR50 RNN50 RXJ50 SHF50 SRB50 TAX50 TKT50 TUP50 UEL50 UOH50 UYD50 VHZ50 VRV50 WBR50 WLN50 WVJ50 B65586 IX65586 ST65586 ACP65586 AML65586 AWH65586 BGD65586 BPZ65586 BZV65586 CJR65586 CTN65586 DDJ65586 DNF65586 DXB65586 EGX65586 EQT65586 FAP65586 FKL65586 FUH65586 GED65586 GNZ65586 GXV65586 HHR65586 HRN65586 IBJ65586 ILF65586 IVB65586 JEX65586 JOT65586 JYP65586 KIL65586 KSH65586 LCD65586 LLZ65586 LVV65586 MFR65586 MPN65586 MZJ65586 NJF65586 NTB65586 OCX65586 OMT65586 OWP65586 PGL65586 PQH65586 QAD65586 QJZ65586 QTV65586 RDR65586 RNN65586 RXJ65586 SHF65586 SRB65586 TAX65586 TKT65586 TUP65586 UEL65586 UOH65586 UYD65586 VHZ65586 VRV65586 WBR65586 WLN65586 WVJ65586 B131122 IX131122 ST131122 ACP131122 AML131122 AWH131122 BGD131122 BPZ131122 BZV131122 CJR131122 CTN131122 DDJ131122 DNF131122 DXB131122 EGX131122 EQT131122 FAP131122 FKL131122 FUH131122 GED131122 GNZ131122 GXV131122 HHR131122 HRN131122 IBJ131122 ILF131122 IVB131122 JEX131122 JOT131122 JYP131122 KIL131122 KSH131122 LCD131122 LLZ131122 LVV131122 MFR131122 MPN131122 MZJ131122 NJF131122 NTB131122 OCX131122 OMT131122 OWP131122 PGL131122 PQH131122 QAD131122 QJZ131122 QTV131122 RDR131122 RNN131122 RXJ131122 SHF131122 SRB131122 TAX131122 TKT131122 TUP131122 UEL131122 UOH131122 UYD131122 VHZ131122 VRV131122 WBR131122 WLN131122 WVJ131122 B196658 IX196658 ST196658 ACP196658 AML196658 AWH196658 BGD196658 BPZ196658 BZV196658 CJR196658 CTN196658 DDJ196658 DNF196658 DXB196658 EGX196658 EQT196658 FAP196658 FKL196658 FUH196658 GED196658 GNZ196658 GXV196658 HHR196658 HRN196658 IBJ196658 ILF196658 IVB196658 JEX196658 JOT196658 JYP196658 KIL196658 KSH196658 LCD196658 LLZ196658 LVV196658 MFR196658 MPN196658 MZJ196658 NJF196658 NTB196658 OCX196658 OMT196658 OWP196658 PGL196658 PQH196658 QAD196658 QJZ196658 QTV196658 RDR196658 RNN196658 RXJ196658 SHF196658 SRB196658 TAX196658 TKT196658 TUP196658 UEL196658 UOH196658 UYD196658 VHZ196658 VRV196658 WBR196658 WLN196658 WVJ196658 B262194 IX262194 ST262194 ACP262194 AML262194 AWH262194 BGD262194 BPZ262194 BZV262194 CJR262194 CTN262194 DDJ262194 DNF262194 DXB262194 EGX262194 EQT262194 FAP262194 FKL262194 FUH262194 GED262194 GNZ262194 GXV262194 HHR262194 HRN262194 IBJ262194 ILF262194 IVB262194 JEX262194 JOT262194 JYP262194 KIL262194 KSH262194 LCD262194 LLZ262194 LVV262194 MFR262194 MPN262194 MZJ262194 NJF262194 NTB262194 OCX262194 OMT262194 OWP262194 PGL262194 PQH262194 QAD262194 QJZ262194 QTV262194 RDR262194 RNN262194 RXJ262194 SHF262194 SRB262194 TAX262194 TKT262194 TUP262194 UEL262194 UOH262194 UYD262194 VHZ262194 VRV262194 WBR262194 WLN262194 WVJ262194 B327730 IX327730 ST327730 ACP327730 AML327730 AWH327730 BGD327730 BPZ327730 BZV327730 CJR327730 CTN327730 DDJ327730 DNF327730 DXB327730 EGX327730 EQT327730 FAP327730 FKL327730 FUH327730 GED327730 GNZ327730 GXV327730 HHR327730 HRN327730 IBJ327730 ILF327730 IVB327730 JEX327730 JOT327730 JYP327730 KIL327730 KSH327730 LCD327730 LLZ327730 LVV327730 MFR327730 MPN327730 MZJ327730 NJF327730 NTB327730 OCX327730 OMT327730 OWP327730 PGL327730 PQH327730 QAD327730 QJZ327730 QTV327730 RDR327730 RNN327730 RXJ327730 SHF327730 SRB327730 TAX327730 TKT327730 TUP327730 UEL327730 UOH327730 UYD327730 VHZ327730 VRV327730 WBR327730 WLN327730 WVJ327730 B393266 IX393266 ST393266 ACP393266 AML393266 AWH393266 BGD393266 BPZ393266 BZV393266 CJR393266 CTN393266 DDJ393266 DNF393266 DXB393266 EGX393266 EQT393266 FAP393266 FKL393266 FUH393266 GED393266 GNZ393266 GXV393266 HHR393266 HRN393266 IBJ393266 ILF393266 IVB393266 JEX393266 JOT393266 JYP393266 KIL393266 KSH393266 LCD393266 LLZ393266 LVV393266 MFR393266 MPN393266 MZJ393266 NJF393266 NTB393266 OCX393266 OMT393266 OWP393266 PGL393266 PQH393266 QAD393266 QJZ393266 QTV393266 RDR393266 RNN393266 RXJ393266 SHF393266 SRB393266 TAX393266 TKT393266 TUP393266 UEL393266 UOH393266 UYD393266 VHZ393266 VRV393266 WBR393266 WLN393266 WVJ393266 B458802 IX458802 ST458802 ACP458802 AML458802 AWH458802 BGD458802 BPZ458802 BZV458802 CJR458802 CTN458802 DDJ458802 DNF458802 DXB458802 EGX458802 EQT458802 FAP458802 FKL458802 FUH458802 GED458802 GNZ458802 GXV458802 HHR458802 HRN458802 IBJ458802 ILF458802 IVB458802 JEX458802 JOT458802 JYP458802 KIL458802 KSH458802 LCD458802 LLZ458802 LVV458802 MFR458802 MPN458802 MZJ458802 NJF458802 NTB458802 OCX458802 OMT458802 OWP458802 PGL458802 PQH458802 QAD458802 QJZ458802 QTV458802 RDR458802 RNN458802 RXJ458802 SHF458802 SRB458802 TAX458802 TKT458802 TUP458802 UEL458802 UOH458802 UYD458802 VHZ458802 VRV458802 WBR458802 WLN458802 WVJ458802 B524338 IX524338 ST524338 ACP524338 AML524338 AWH524338 BGD524338 BPZ524338 BZV524338 CJR524338 CTN524338 DDJ524338 DNF524338 DXB524338 EGX524338 EQT524338 FAP524338 FKL524338 FUH524338 GED524338 GNZ524338 GXV524338 HHR524338 HRN524338 IBJ524338 ILF524338 IVB524338 JEX524338 JOT524338 JYP524338 KIL524338 KSH524338 LCD524338 LLZ524338 LVV524338 MFR524338 MPN524338 MZJ524338 NJF524338 NTB524338 OCX524338 OMT524338 OWP524338 PGL524338 PQH524338 QAD524338 QJZ524338 QTV524338 RDR524338 RNN524338 RXJ524338 SHF524338 SRB524338 TAX524338 TKT524338 TUP524338 UEL524338 UOH524338 UYD524338 VHZ524338 VRV524338 WBR524338 WLN524338 WVJ524338 B589874 IX589874 ST589874 ACP589874 AML589874 AWH589874 BGD589874 BPZ589874 BZV589874 CJR589874 CTN589874 DDJ589874 DNF589874 DXB589874 EGX589874 EQT589874 FAP589874 FKL589874 FUH589874 GED589874 GNZ589874 GXV589874 HHR589874 HRN589874 IBJ589874 ILF589874 IVB589874 JEX589874 JOT589874 JYP589874 KIL589874 KSH589874 LCD589874 LLZ589874 LVV589874 MFR589874 MPN589874 MZJ589874 NJF589874 NTB589874 OCX589874 OMT589874 OWP589874 PGL589874 PQH589874 QAD589874 QJZ589874 QTV589874 RDR589874 RNN589874 RXJ589874 SHF589874 SRB589874 TAX589874 TKT589874 TUP589874 UEL589874 UOH589874 UYD589874 VHZ589874 VRV589874 WBR589874 WLN589874 WVJ589874 B655410 IX655410 ST655410 ACP655410 AML655410 AWH655410 BGD655410 BPZ655410 BZV655410 CJR655410 CTN655410 DDJ655410 DNF655410 DXB655410 EGX655410 EQT655410 FAP655410 FKL655410 FUH655410 GED655410 GNZ655410 GXV655410 HHR655410 HRN655410 IBJ655410 ILF655410 IVB655410 JEX655410 JOT655410 JYP655410 KIL655410 KSH655410 LCD655410 LLZ655410 LVV655410 MFR655410 MPN655410 MZJ655410 NJF655410 NTB655410 OCX655410 OMT655410 OWP655410 PGL655410 PQH655410 QAD655410 QJZ655410 QTV655410 RDR655410 RNN655410 RXJ655410 SHF655410 SRB655410 TAX655410 TKT655410 TUP655410 UEL655410 UOH655410 UYD655410 VHZ655410 VRV655410 WBR655410 WLN655410 WVJ655410 B720946 IX720946 ST720946 ACP720946 AML720946 AWH720946 BGD720946 BPZ720946 BZV720946 CJR720946 CTN720946 DDJ720946 DNF720946 DXB720946 EGX720946 EQT720946 FAP720946 FKL720946 FUH720946 GED720946 GNZ720946 GXV720946 HHR720946 HRN720946 IBJ720946 ILF720946 IVB720946 JEX720946 JOT720946 JYP720946 KIL720946 KSH720946 LCD720946 LLZ720946 LVV720946 MFR720946 MPN720946 MZJ720946 NJF720946 NTB720946 OCX720946 OMT720946 OWP720946 PGL720946 PQH720946 QAD720946 QJZ720946 QTV720946 RDR720946 RNN720946 RXJ720946 SHF720946 SRB720946 TAX720946 TKT720946 TUP720946 UEL720946 UOH720946 UYD720946 VHZ720946 VRV720946 WBR720946 WLN720946 WVJ720946 B786482 IX786482 ST786482 ACP786482 AML786482 AWH786482 BGD786482 BPZ786482 BZV786482 CJR786482 CTN786482 DDJ786482 DNF786482 DXB786482 EGX786482 EQT786482 FAP786482 FKL786482 FUH786482 GED786482 GNZ786482 GXV786482 HHR786482 HRN786482 IBJ786482 ILF786482 IVB786482 JEX786482 JOT786482 JYP786482 KIL786482 KSH786482 LCD786482 LLZ786482 LVV786482 MFR786482 MPN786482 MZJ786482 NJF786482 NTB786482 OCX786482 OMT786482 OWP786482 PGL786482 PQH786482 QAD786482 QJZ786482 QTV786482 RDR786482 RNN786482 RXJ786482 SHF786482 SRB786482 TAX786482 TKT786482 TUP786482 UEL786482 UOH786482 UYD786482 VHZ786482 VRV786482 WBR786482 WLN786482 WVJ786482 B852018 IX852018 ST852018 ACP852018 AML852018 AWH852018 BGD852018 BPZ852018 BZV852018 CJR852018 CTN852018 DDJ852018 DNF852018 DXB852018 EGX852018 EQT852018 FAP852018 FKL852018 FUH852018 GED852018 GNZ852018 GXV852018 HHR852018 HRN852018 IBJ852018 ILF852018 IVB852018 JEX852018 JOT852018 JYP852018 KIL852018 KSH852018 LCD852018 LLZ852018 LVV852018 MFR852018 MPN852018 MZJ852018 NJF852018 NTB852018 OCX852018 OMT852018 OWP852018 PGL852018 PQH852018 QAD852018 QJZ852018 QTV852018 RDR852018 RNN852018 RXJ852018 SHF852018 SRB852018 TAX852018 TKT852018 TUP852018 UEL852018 UOH852018 UYD852018 VHZ852018 VRV852018 WBR852018 WLN852018 WVJ852018 B917554 IX917554 ST917554 ACP917554 AML917554 AWH917554 BGD917554 BPZ917554 BZV917554 CJR917554 CTN917554 DDJ917554 DNF917554 DXB917554 EGX917554 EQT917554 FAP917554 FKL917554 FUH917554 GED917554 GNZ917554 GXV917554 HHR917554 HRN917554 IBJ917554 ILF917554 IVB917554 JEX917554 JOT917554 JYP917554 KIL917554 KSH917554 LCD917554 LLZ917554 LVV917554 MFR917554 MPN917554 MZJ917554 NJF917554 NTB917554 OCX917554 OMT917554 OWP917554 PGL917554 PQH917554 QAD917554 QJZ917554 QTV917554 RDR917554 RNN917554 RXJ917554 SHF917554 SRB917554 TAX917554 TKT917554 TUP917554 UEL917554 UOH917554 UYD917554 VHZ917554 VRV917554 WBR917554 WLN917554 WVJ917554 B983090 IX983090 ST983090 ACP983090 AML983090 AWH983090 BGD983090 BPZ983090 BZV983090 CJR983090 CTN983090 DDJ983090 DNF983090 DXB983090 EGX983090 EQT983090 FAP983090 FKL983090 FUH983090 GED983090 GNZ983090 GXV983090 HHR983090 HRN983090 IBJ983090 ILF983090 IVB983090 JEX983090 JOT983090 JYP983090 KIL983090 KSH983090 LCD983090 LLZ983090 LVV983090 MFR983090 MPN983090 MZJ983090 NJF983090 NTB983090 OCX983090 OMT983090 OWP983090 PGL983090 PQH983090 QAD983090 QJZ983090 QTV983090 RDR983090 RNN983090 RXJ983090 SHF983090 SRB983090 TAX983090 TKT983090 TUP983090 UEL983090 UOH983090 UYD983090 VHZ983090 VRV983090 WBR983090 WLN983090 WVJ983090 B66 IX66 ST66 ACP66 AML66 AWH66 BGD66 BPZ66 BZV66 CJR66 CTN66 DDJ66 DNF66 DXB66 EGX66 EQT66 FAP66 FKL66 FUH66 GED66 GNZ66 GXV66 HHR66 HRN66 IBJ66 ILF66 IVB66 JEX66 JOT66 JYP66 KIL66 KSH66 LCD66 LLZ66 LVV66 MFR66 MPN66 MZJ66 NJF66 NTB66 OCX66 OMT66 OWP66 PGL66 PQH66 QAD66 QJZ66 QTV66 RDR66 RNN66 RXJ66 SHF66 SRB66 TAX66 TKT66 TUP66 UEL66 UOH66 UYD66 VHZ66 VRV66 WBR66 WLN66 WVJ66 B65602 IX65602 ST65602 ACP65602 AML65602 AWH65602 BGD65602 BPZ65602 BZV65602 CJR65602 CTN65602 DDJ65602 DNF65602 DXB65602 EGX65602 EQT65602 FAP65602 FKL65602 FUH65602 GED65602 GNZ65602 GXV65602 HHR65602 HRN65602 IBJ65602 ILF65602 IVB65602 JEX65602 JOT65602 JYP65602 KIL65602 KSH65602 LCD65602 LLZ65602 LVV65602 MFR65602 MPN65602 MZJ65602 NJF65602 NTB65602 OCX65602 OMT65602 OWP65602 PGL65602 PQH65602 QAD65602 QJZ65602 QTV65602 RDR65602 RNN65602 RXJ65602 SHF65602 SRB65602 TAX65602 TKT65602 TUP65602 UEL65602 UOH65602 UYD65602 VHZ65602 VRV65602 WBR65602 WLN65602 WVJ65602 B131138 IX131138 ST131138 ACP131138 AML131138 AWH131138 BGD131138 BPZ131138 BZV131138 CJR131138 CTN131138 DDJ131138 DNF131138 DXB131138 EGX131138 EQT131138 FAP131138 FKL131138 FUH131138 GED131138 GNZ131138 GXV131138 HHR131138 HRN131138 IBJ131138 ILF131138 IVB131138 JEX131138 JOT131138 JYP131138 KIL131138 KSH131138 LCD131138 LLZ131138 LVV131138 MFR131138 MPN131138 MZJ131138 NJF131138 NTB131138 OCX131138 OMT131138 OWP131138 PGL131138 PQH131138 QAD131138 QJZ131138 QTV131138 RDR131138 RNN131138 RXJ131138 SHF131138 SRB131138 TAX131138 TKT131138 TUP131138 UEL131138 UOH131138 UYD131138 VHZ131138 VRV131138 WBR131138 WLN131138 WVJ131138 B196674 IX196674 ST196674 ACP196674 AML196674 AWH196674 BGD196674 BPZ196674 BZV196674 CJR196674 CTN196674 DDJ196674 DNF196674 DXB196674 EGX196674 EQT196674 FAP196674 FKL196674 FUH196674 GED196674 GNZ196674 GXV196674 HHR196674 HRN196674 IBJ196674 ILF196674 IVB196674 JEX196674 JOT196674 JYP196674 KIL196674 KSH196674 LCD196674 LLZ196674 LVV196674 MFR196674 MPN196674 MZJ196674 NJF196674 NTB196674 OCX196674 OMT196674 OWP196674 PGL196674 PQH196674 QAD196674 QJZ196674 QTV196674 RDR196674 RNN196674 RXJ196674 SHF196674 SRB196674 TAX196674 TKT196674 TUP196674 UEL196674 UOH196674 UYD196674 VHZ196674 VRV196674 WBR196674 WLN196674 WVJ196674 B262210 IX262210 ST262210 ACP262210 AML262210 AWH262210 BGD262210 BPZ262210 BZV262210 CJR262210 CTN262210 DDJ262210 DNF262210 DXB262210 EGX262210 EQT262210 FAP262210 FKL262210 FUH262210 GED262210 GNZ262210 GXV262210 HHR262210 HRN262210 IBJ262210 ILF262210 IVB262210 JEX262210 JOT262210 JYP262210 KIL262210 KSH262210 LCD262210 LLZ262210 LVV262210 MFR262210 MPN262210 MZJ262210 NJF262210 NTB262210 OCX262210 OMT262210 OWP262210 PGL262210 PQH262210 QAD262210 QJZ262210 QTV262210 RDR262210 RNN262210 RXJ262210 SHF262210 SRB262210 TAX262210 TKT262210 TUP262210 UEL262210 UOH262210 UYD262210 VHZ262210 VRV262210 WBR262210 WLN262210 WVJ262210 B327746 IX327746 ST327746 ACP327746 AML327746 AWH327746 BGD327746 BPZ327746 BZV327746 CJR327746 CTN327746 DDJ327746 DNF327746 DXB327746 EGX327746 EQT327746 FAP327746 FKL327746 FUH327746 GED327746 GNZ327746 GXV327746 HHR327746 HRN327746 IBJ327746 ILF327746 IVB327746 JEX327746 JOT327746 JYP327746 KIL327746 KSH327746 LCD327746 LLZ327746 LVV327746 MFR327746 MPN327746 MZJ327746 NJF327746 NTB327746 OCX327746 OMT327746 OWP327746 PGL327746 PQH327746 QAD327746 QJZ327746 QTV327746 RDR327746 RNN327746 RXJ327746 SHF327746 SRB327746 TAX327746 TKT327746 TUP327746 UEL327746 UOH327746 UYD327746 VHZ327746 VRV327746 WBR327746 WLN327746 WVJ327746 B393282 IX393282 ST393282 ACP393282 AML393282 AWH393282 BGD393282 BPZ393282 BZV393282 CJR393282 CTN393282 DDJ393282 DNF393282 DXB393282 EGX393282 EQT393282 FAP393282 FKL393282 FUH393282 GED393282 GNZ393282 GXV393282 HHR393282 HRN393282 IBJ393282 ILF393282 IVB393282 JEX393282 JOT393282 JYP393282 KIL393282 KSH393282 LCD393282 LLZ393282 LVV393282 MFR393282 MPN393282 MZJ393282 NJF393282 NTB393282 OCX393282 OMT393282 OWP393282 PGL393282 PQH393282 QAD393282 QJZ393282 QTV393282 RDR393282 RNN393282 RXJ393282 SHF393282 SRB393282 TAX393282 TKT393282 TUP393282 UEL393282 UOH393282 UYD393282 VHZ393282 VRV393282 WBR393282 WLN393282 WVJ393282 B458818 IX458818 ST458818 ACP458818 AML458818 AWH458818 BGD458818 BPZ458818 BZV458818 CJR458818 CTN458818 DDJ458818 DNF458818 DXB458818 EGX458818 EQT458818 FAP458818 FKL458818 FUH458818 GED458818 GNZ458818 GXV458818 HHR458818 HRN458818 IBJ458818 ILF458818 IVB458818 JEX458818 JOT458818 JYP458818 KIL458818 KSH458818 LCD458818 LLZ458818 LVV458818 MFR458818 MPN458818 MZJ458818 NJF458818 NTB458818 OCX458818 OMT458818 OWP458818 PGL458818 PQH458818 QAD458818 QJZ458818 QTV458818 RDR458818 RNN458818 RXJ458818 SHF458818 SRB458818 TAX458818 TKT458818 TUP458818 UEL458818 UOH458818 UYD458818 VHZ458818 VRV458818 WBR458818 WLN458818 WVJ458818 B524354 IX524354 ST524354 ACP524354 AML524354 AWH524354 BGD524354 BPZ524354 BZV524354 CJR524354 CTN524354 DDJ524354 DNF524354 DXB524354 EGX524354 EQT524354 FAP524354 FKL524354 FUH524354 GED524354 GNZ524354 GXV524354 HHR524354 HRN524354 IBJ524354 ILF524354 IVB524354 JEX524354 JOT524354 JYP524354 KIL524354 KSH524354 LCD524354 LLZ524354 LVV524354 MFR524354 MPN524354 MZJ524354 NJF524354 NTB524354 OCX524354 OMT524354 OWP524354 PGL524354 PQH524354 QAD524354 QJZ524354 QTV524354 RDR524354 RNN524354 RXJ524354 SHF524354 SRB524354 TAX524354 TKT524354 TUP524354 UEL524354 UOH524354 UYD524354 VHZ524354 VRV524354 WBR524354 WLN524354 WVJ524354 B589890 IX589890 ST589890 ACP589890 AML589890 AWH589890 BGD589890 BPZ589890 BZV589890 CJR589890 CTN589890 DDJ589890 DNF589890 DXB589890 EGX589890 EQT589890 FAP589890 FKL589890 FUH589890 GED589890 GNZ589890 GXV589890 HHR589890 HRN589890 IBJ589890 ILF589890 IVB589890 JEX589890 JOT589890 JYP589890 KIL589890 KSH589890 LCD589890 LLZ589890 LVV589890 MFR589890 MPN589890 MZJ589890 NJF589890 NTB589890 OCX589890 OMT589890 OWP589890 PGL589890 PQH589890 QAD589890 QJZ589890 QTV589890 RDR589890 RNN589890 RXJ589890 SHF589890 SRB589890 TAX589890 TKT589890 TUP589890 UEL589890 UOH589890 UYD589890 VHZ589890 VRV589890 WBR589890 WLN589890 WVJ589890 B655426 IX655426 ST655426 ACP655426 AML655426 AWH655426 BGD655426 BPZ655426 BZV655426 CJR655426 CTN655426 DDJ655426 DNF655426 DXB655426 EGX655426 EQT655426 FAP655426 FKL655426 FUH655426 GED655426 GNZ655426 GXV655426 HHR655426 HRN655426 IBJ655426 ILF655426 IVB655426 JEX655426 JOT655426 JYP655426 KIL655426 KSH655426 LCD655426 LLZ655426 LVV655426 MFR655426 MPN655426 MZJ655426 NJF655426 NTB655426 OCX655426 OMT655426 OWP655426 PGL655426 PQH655426 QAD655426 QJZ655426 QTV655426 RDR655426 RNN655426 RXJ655426 SHF655426 SRB655426 TAX655426 TKT655426 TUP655426 UEL655426 UOH655426 UYD655426 VHZ655426 VRV655426 WBR655426 WLN655426 WVJ655426 B720962 IX720962 ST720962 ACP720962 AML720962 AWH720962 BGD720962 BPZ720962 BZV720962 CJR720962 CTN720962 DDJ720962 DNF720962 DXB720962 EGX720962 EQT720962 FAP720962 FKL720962 FUH720962 GED720962 GNZ720962 GXV720962 HHR720962 HRN720962 IBJ720962 ILF720962 IVB720962 JEX720962 JOT720962 JYP720962 KIL720962 KSH720962 LCD720962 LLZ720962 LVV720962 MFR720962 MPN720962 MZJ720962 NJF720962 NTB720962 OCX720962 OMT720962 OWP720962 PGL720962 PQH720962 QAD720962 QJZ720962 QTV720962 RDR720962 RNN720962 RXJ720962 SHF720962 SRB720962 TAX720962 TKT720962 TUP720962 UEL720962 UOH720962 UYD720962 VHZ720962 VRV720962 WBR720962 WLN720962 WVJ720962 B786498 IX786498 ST786498 ACP786498 AML786498 AWH786498 BGD786498 BPZ786498 BZV786498 CJR786498 CTN786498 DDJ786498 DNF786498 DXB786498 EGX786498 EQT786498 FAP786498 FKL786498 FUH786498 GED786498 GNZ786498 GXV786498 HHR786498 HRN786498 IBJ786498 ILF786498 IVB786498 JEX786498 JOT786498 JYP786498 KIL786498 KSH786498 LCD786498 LLZ786498 LVV786498 MFR786498 MPN786498 MZJ786498 NJF786498 NTB786498 OCX786498 OMT786498 OWP786498 PGL786498 PQH786498 QAD786498 QJZ786498 QTV786498 RDR786498 RNN786498 RXJ786498 SHF786498 SRB786498 TAX786498 TKT786498 TUP786498 UEL786498 UOH786498 UYD786498 VHZ786498 VRV786498 WBR786498 WLN786498 WVJ786498 B852034 IX852034 ST852034 ACP852034 AML852034 AWH852034 BGD852034 BPZ852034 BZV852034 CJR852034 CTN852034 DDJ852034 DNF852034 DXB852034 EGX852034 EQT852034 FAP852034 FKL852034 FUH852034 GED852034 GNZ852034 GXV852034 HHR852034 HRN852034 IBJ852034 ILF852034 IVB852034 JEX852034 JOT852034 JYP852034 KIL852034 KSH852034 LCD852034 LLZ852034 LVV852034 MFR852034 MPN852034 MZJ852034 NJF852034 NTB852034 OCX852034 OMT852034 OWP852034 PGL852034 PQH852034 QAD852034 QJZ852034 QTV852034 RDR852034 RNN852034 RXJ852034 SHF852034 SRB852034 TAX852034 TKT852034 TUP852034 UEL852034 UOH852034 UYD852034 VHZ852034 VRV852034 WBR852034 WLN852034 WVJ852034 B917570 IX917570 ST917570 ACP917570 AML917570 AWH917570 BGD917570 BPZ917570 BZV917570 CJR917570 CTN917570 DDJ917570 DNF917570 DXB917570 EGX917570 EQT917570 FAP917570 FKL917570 FUH917570 GED917570 GNZ917570 GXV917570 HHR917570 HRN917570 IBJ917570 ILF917570 IVB917570 JEX917570 JOT917570 JYP917570 KIL917570 KSH917570 LCD917570 LLZ917570 LVV917570 MFR917570 MPN917570 MZJ917570 NJF917570 NTB917570 OCX917570 OMT917570 OWP917570 PGL917570 PQH917570 QAD917570 QJZ917570 QTV917570 RDR917570 RNN917570 RXJ917570 SHF917570 SRB917570 TAX917570 TKT917570 TUP917570 UEL917570 UOH917570 UYD917570 VHZ917570 VRV917570 WBR917570 WLN917570 WVJ917570 B983106 IX983106 ST983106 ACP983106 AML983106 AWH983106 BGD983106 BPZ983106 BZV983106 CJR983106 CTN983106 DDJ983106 DNF983106 DXB983106 EGX983106 EQT983106 FAP983106 FKL983106 FUH983106 GED983106 GNZ983106 GXV983106 HHR983106 HRN983106 IBJ983106 ILF983106 IVB983106 JEX983106 JOT983106 JYP983106 KIL983106 KSH983106 LCD983106 LLZ983106 LVV983106 MFR983106 MPN983106 MZJ983106 NJF983106 NTB983106 OCX983106 OMT983106 OWP983106 PGL983106 PQH983106 QAD983106 QJZ983106 QTV983106 RDR983106 RNN983106 RXJ983106 SHF983106 SRB983106 TAX983106 TKT983106 TUP983106 UEL983106 UOH983106 UYD983106 VHZ983106 VRV983106 WBR983106 WLN983106 WVJ983106 B82 IX82 ST82 ACP82 AML82 AWH82 BGD82 BPZ82 BZV82 CJR82 CTN82 DDJ82 DNF82 DXB82 EGX82 EQT82 FAP82 FKL82 FUH82 GED82 GNZ82 GXV82 HHR82 HRN82 IBJ82 ILF82 IVB82 JEX82 JOT82 JYP82 KIL82 KSH82 LCD82 LLZ82 LVV82 MFR82 MPN82 MZJ82 NJF82 NTB82 OCX82 OMT82 OWP82 PGL82 PQH82 QAD82 QJZ82 QTV82 RDR82 RNN82 RXJ82 SHF82 SRB82 TAX82 TKT82 TUP82 UEL82 UOH82 UYD82 VHZ82 VRV82 WBR82 WLN82 WVJ82 B65618 IX65618 ST65618 ACP65618 AML65618 AWH65618 BGD65618 BPZ65618 BZV65618 CJR65618 CTN65618 DDJ65618 DNF65618 DXB65618 EGX65618 EQT65618 FAP65618 FKL65618 FUH65618 GED65618 GNZ65618 GXV65618 HHR65618 HRN65618 IBJ65618 ILF65618 IVB65618 JEX65618 JOT65618 JYP65618 KIL65618 KSH65618 LCD65618 LLZ65618 LVV65618 MFR65618 MPN65618 MZJ65618 NJF65618 NTB65618 OCX65618 OMT65618 OWP65618 PGL65618 PQH65618 QAD65618 QJZ65618 QTV65618 RDR65618 RNN65618 RXJ65618 SHF65618 SRB65618 TAX65618 TKT65618 TUP65618 UEL65618 UOH65618 UYD65618 VHZ65618 VRV65618 WBR65618 WLN65618 WVJ65618 B131154 IX131154 ST131154 ACP131154 AML131154 AWH131154 BGD131154 BPZ131154 BZV131154 CJR131154 CTN131154 DDJ131154 DNF131154 DXB131154 EGX131154 EQT131154 FAP131154 FKL131154 FUH131154 GED131154 GNZ131154 GXV131154 HHR131154 HRN131154 IBJ131154 ILF131154 IVB131154 JEX131154 JOT131154 JYP131154 KIL131154 KSH131154 LCD131154 LLZ131154 LVV131154 MFR131154 MPN131154 MZJ131154 NJF131154 NTB131154 OCX131154 OMT131154 OWP131154 PGL131154 PQH131154 QAD131154 QJZ131154 QTV131154 RDR131154 RNN131154 RXJ131154 SHF131154 SRB131154 TAX131154 TKT131154 TUP131154 UEL131154 UOH131154 UYD131154 VHZ131154 VRV131154 WBR131154 WLN131154 WVJ131154 B196690 IX196690 ST196690 ACP196690 AML196690 AWH196690 BGD196690 BPZ196690 BZV196690 CJR196690 CTN196690 DDJ196690 DNF196690 DXB196690 EGX196690 EQT196690 FAP196690 FKL196690 FUH196690 GED196690 GNZ196690 GXV196690 HHR196690 HRN196690 IBJ196690 ILF196690 IVB196690 JEX196690 JOT196690 JYP196690 KIL196690 KSH196690 LCD196690 LLZ196690 LVV196690 MFR196690 MPN196690 MZJ196690 NJF196690 NTB196690 OCX196690 OMT196690 OWP196690 PGL196690 PQH196690 QAD196690 QJZ196690 QTV196690 RDR196690 RNN196690 RXJ196690 SHF196690 SRB196690 TAX196690 TKT196690 TUP196690 UEL196690 UOH196690 UYD196690 VHZ196690 VRV196690 WBR196690 WLN196690 WVJ196690 B262226 IX262226 ST262226 ACP262226 AML262226 AWH262226 BGD262226 BPZ262226 BZV262226 CJR262226 CTN262226 DDJ262226 DNF262226 DXB262226 EGX262226 EQT262226 FAP262226 FKL262226 FUH262226 GED262226 GNZ262226 GXV262226 HHR262226 HRN262226 IBJ262226 ILF262226 IVB262226 JEX262226 JOT262226 JYP262226 KIL262226 KSH262226 LCD262226 LLZ262226 LVV262226 MFR262226 MPN262226 MZJ262226 NJF262226 NTB262226 OCX262226 OMT262226 OWP262226 PGL262226 PQH262226 QAD262226 QJZ262226 QTV262226 RDR262226 RNN262226 RXJ262226 SHF262226 SRB262226 TAX262226 TKT262226 TUP262226 UEL262226 UOH262226 UYD262226 VHZ262226 VRV262226 WBR262226 WLN262226 WVJ262226 B327762 IX327762 ST327762 ACP327762 AML327762 AWH327762 BGD327762 BPZ327762 BZV327762 CJR327762 CTN327762 DDJ327762 DNF327762 DXB327762 EGX327762 EQT327762 FAP327762 FKL327762 FUH327762 GED327762 GNZ327762 GXV327762 HHR327762 HRN327762 IBJ327762 ILF327762 IVB327762 JEX327762 JOT327762 JYP327762 KIL327762 KSH327762 LCD327762 LLZ327762 LVV327762 MFR327762 MPN327762 MZJ327762 NJF327762 NTB327762 OCX327762 OMT327762 OWP327762 PGL327762 PQH327762 QAD327762 QJZ327762 QTV327762 RDR327762 RNN327762 RXJ327762 SHF327762 SRB327762 TAX327762 TKT327762 TUP327762 UEL327762 UOH327762 UYD327762 VHZ327762 VRV327762 WBR327762 WLN327762 WVJ327762 B393298 IX393298 ST393298 ACP393298 AML393298 AWH393298 BGD393298 BPZ393298 BZV393298 CJR393298 CTN393298 DDJ393298 DNF393298 DXB393298 EGX393298 EQT393298 FAP393298 FKL393298 FUH393298 GED393298 GNZ393298 GXV393298 HHR393298 HRN393298 IBJ393298 ILF393298 IVB393298 JEX393298 JOT393298 JYP393298 KIL393298 KSH393298 LCD393298 LLZ393298 LVV393298 MFR393298 MPN393298 MZJ393298 NJF393298 NTB393298 OCX393298 OMT393298 OWP393298 PGL393298 PQH393298 QAD393298 QJZ393298 QTV393298 RDR393298 RNN393298 RXJ393298 SHF393298 SRB393298 TAX393298 TKT393298 TUP393298 UEL393298 UOH393298 UYD393298 VHZ393298 VRV393298 WBR393298 WLN393298 WVJ393298 B458834 IX458834 ST458834 ACP458834 AML458834 AWH458834 BGD458834 BPZ458834 BZV458834 CJR458834 CTN458834 DDJ458834 DNF458834 DXB458834 EGX458834 EQT458834 FAP458834 FKL458834 FUH458834 GED458834 GNZ458834 GXV458834 HHR458834 HRN458834 IBJ458834 ILF458834 IVB458834 JEX458834 JOT458834 JYP458834 KIL458834 KSH458834 LCD458834 LLZ458834 LVV458834 MFR458834 MPN458834 MZJ458834 NJF458834 NTB458834 OCX458834 OMT458834 OWP458834 PGL458834 PQH458834 QAD458834 QJZ458834 QTV458834 RDR458834 RNN458834 RXJ458834 SHF458834 SRB458834 TAX458834 TKT458834 TUP458834 UEL458834 UOH458834 UYD458834 VHZ458834 VRV458834 WBR458834 WLN458834 WVJ458834 B524370 IX524370 ST524370 ACP524370 AML524370 AWH524370 BGD524370 BPZ524370 BZV524370 CJR524370 CTN524370 DDJ524370 DNF524370 DXB524370 EGX524370 EQT524370 FAP524370 FKL524370 FUH524370 GED524370 GNZ524370 GXV524370 HHR524370 HRN524370 IBJ524370 ILF524370 IVB524370 JEX524370 JOT524370 JYP524370 KIL524370 KSH524370 LCD524370 LLZ524370 LVV524370 MFR524370 MPN524370 MZJ524370 NJF524370 NTB524370 OCX524370 OMT524370 OWP524370 PGL524370 PQH524370 QAD524370 QJZ524370 QTV524370 RDR524370 RNN524370 RXJ524370 SHF524370 SRB524370 TAX524370 TKT524370 TUP524370 UEL524370 UOH524370 UYD524370 VHZ524370 VRV524370 WBR524370 WLN524370 WVJ524370 B589906 IX589906 ST589906 ACP589906 AML589906 AWH589906 BGD589906 BPZ589906 BZV589906 CJR589906 CTN589906 DDJ589906 DNF589906 DXB589906 EGX589906 EQT589906 FAP589906 FKL589906 FUH589906 GED589906 GNZ589906 GXV589906 HHR589906 HRN589906 IBJ589906 ILF589906 IVB589906 JEX589906 JOT589906 JYP589906 KIL589906 KSH589906 LCD589906 LLZ589906 LVV589906 MFR589906 MPN589906 MZJ589906 NJF589906 NTB589906 OCX589906 OMT589906 OWP589906 PGL589906 PQH589906 QAD589906 QJZ589906 QTV589906 RDR589906 RNN589906 RXJ589906 SHF589906 SRB589906 TAX589906 TKT589906 TUP589906 UEL589906 UOH589906 UYD589906 VHZ589906 VRV589906 WBR589906 WLN589906 WVJ589906 B655442 IX655442 ST655442 ACP655442 AML655442 AWH655442 BGD655442 BPZ655442 BZV655442 CJR655442 CTN655442 DDJ655442 DNF655442 DXB655442 EGX655442 EQT655442 FAP655442 FKL655442 FUH655442 GED655442 GNZ655442 GXV655442 HHR655442 HRN655442 IBJ655442 ILF655442 IVB655442 JEX655442 JOT655442 JYP655442 KIL655442 KSH655442 LCD655442 LLZ655442 LVV655442 MFR655442 MPN655442 MZJ655442 NJF655442 NTB655442 OCX655442 OMT655442 OWP655442 PGL655442 PQH655442 QAD655442 QJZ655442 QTV655442 RDR655442 RNN655442 RXJ655442 SHF655442 SRB655442 TAX655442 TKT655442 TUP655442 UEL655442 UOH655442 UYD655442 VHZ655442 VRV655442 WBR655442 WLN655442 WVJ655442 B720978 IX720978 ST720978 ACP720978 AML720978 AWH720978 BGD720978 BPZ720978 BZV720978 CJR720978 CTN720978 DDJ720978 DNF720978 DXB720978 EGX720978 EQT720978 FAP720978 FKL720978 FUH720978 GED720978 GNZ720978 GXV720978 HHR720978 HRN720978 IBJ720978 ILF720978 IVB720978 JEX720978 JOT720978 JYP720978 KIL720978 KSH720978 LCD720978 LLZ720978 LVV720978 MFR720978 MPN720978 MZJ720978 NJF720978 NTB720978 OCX720978 OMT720978 OWP720978 PGL720978 PQH720978 QAD720978 QJZ720978 QTV720978 RDR720978 RNN720978 RXJ720978 SHF720978 SRB720978 TAX720978 TKT720978 TUP720978 UEL720978 UOH720978 UYD720978 VHZ720978 VRV720978 WBR720978 WLN720978 WVJ720978 B786514 IX786514 ST786514 ACP786514 AML786514 AWH786514 BGD786514 BPZ786514 BZV786514 CJR786514 CTN786514 DDJ786514 DNF786514 DXB786514 EGX786514 EQT786514 FAP786514 FKL786514 FUH786514 GED786514 GNZ786514 GXV786514 HHR786514 HRN786514 IBJ786514 ILF786514 IVB786514 JEX786514 JOT786514 JYP786514 KIL786514 KSH786514 LCD786514 LLZ786514 LVV786514 MFR786514 MPN786514 MZJ786514 NJF786514 NTB786514 OCX786514 OMT786514 OWP786514 PGL786514 PQH786514 QAD786514 QJZ786514 QTV786514 RDR786514 RNN786514 RXJ786514 SHF786514 SRB786514 TAX786514 TKT786514 TUP786514 UEL786514 UOH786514 UYD786514 VHZ786514 VRV786514 WBR786514 WLN786514 WVJ786514 B852050 IX852050 ST852050 ACP852050 AML852050 AWH852050 BGD852050 BPZ852050 BZV852050 CJR852050 CTN852050 DDJ852050 DNF852050 DXB852050 EGX852050 EQT852050 FAP852050 FKL852050 FUH852050 GED852050 GNZ852050 GXV852050 HHR852050 HRN852050 IBJ852050 ILF852050 IVB852050 JEX852050 JOT852050 JYP852050 KIL852050 KSH852050 LCD852050 LLZ852050 LVV852050 MFR852050 MPN852050 MZJ852050 NJF852050 NTB852050 OCX852050 OMT852050 OWP852050 PGL852050 PQH852050 QAD852050 QJZ852050 QTV852050 RDR852050 RNN852050 RXJ852050 SHF852050 SRB852050 TAX852050 TKT852050 TUP852050 UEL852050 UOH852050 UYD852050 VHZ852050 VRV852050 WBR852050 WLN852050 WVJ852050 B917586 IX917586 ST917586 ACP917586 AML917586 AWH917586 BGD917586 BPZ917586 BZV917586 CJR917586 CTN917586 DDJ917586 DNF917586 DXB917586 EGX917586 EQT917586 FAP917586 FKL917586 FUH917586 GED917586 GNZ917586 GXV917586 HHR917586 HRN917586 IBJ917586 ILF917586 IVB917586 JEX917586 JOT917586 JYP917586 KIL917586 KSH917586 LCD917586 LLZ917586 LVV917586 MFR917586 MPN917586 MZJ917586 NJF917586 NTB917586 OCX917586 OMT917586 OWP917586 PGL917586 PQH917586 QAD917586 QJZ917586 QTV917586 RDR917586 RNN917586 RXJ917586 SHF917586 SRB917586 TAX917586 TKT917586 TUP917586 UEL917586 UOH917586 UYD917586 VHZ917586 VRV917586 WBR917586 WLN917586 WVJ917586 B983122 IX983122 ST983122 ACP983122 AML983122 AWH983122 BGD983122 BPZ983122 BZV983122 CJR983122 CTN983122 DDJ983122 DNF983122 DXB983122 EGX983122 EQT983122 FAP983122 FKL983122 FUH983122 GED983122 GNZ983122 GXV983122 HHR983122 HRN983122 IBJ983122 ILF983122 IVB983122 JEX983122 JOT983122 JYP983122 KIL983122 KSH983122 LCD983122 LLZ983122 LVV983122 MFR983122 MPN983122 MZJ983122 NJF983122 NTB983122 OCX983122 OMT983122 OWP983122 PGL983122 PQH983122 QAD983122 QJZ983122 QTV983122 RDR983122 RNN983122 RXJ983122 SHF983122 SRB983122 TAX983122 TKT983122 TUP983122 UEL983122 UOH983122 UYD983122 VHZ983122 VRV983122 WBR983122 WLN983122 WVJ983122 B98 IX98 ST98 ACP98 AML98 AWH98 BGD98 BPZ98 BZV98 CJR98 CTN98 DDJ98 DNF98 DXB98 EGX98 EQT98 FAP98 FKL98 FUH98 GED98 GNZ98 GXV98 HHR98 HRN98 IBJ98 ILF98 IVB98 JEX98 JOT98 JYP98 KIL98 KSH98 LCD98 LLZ98 LVV98 MFR98 MPN98 MZJ98 NJF98 NTB98 OCX98 OMT98 OWP98 PGL98 PQH98 QAD98 QJZ98 QTV98 RDR98 RNN98 RXJ98 SHF98 SRB98 TAX98 TKT98 TUP98 UEL98 UOH98 UYD98 VHZ98 VRV98 WBR98 WLN98 WVJ98 B65634 IX65634 ST65634 ACP65634 AML65634 AWH65634 BGD65634 BPZ65634 BZV65634 CJR65634 CTN65634 DDJ65634 DNF65634 DXB65634 EGX65634 EQT65634 FAP65634 FKL65634 FUH65634 GED65634 GNZ65634 GXV65634 HHR65634 HRN65634 IBJ65634 ILF65634 IVB65634 JEX65634 JOT65634 JYP65634 KIL65634 KSH65634 LCD65634 LLZ65634 LVV65634 MFR65634 MPN65634 MZJ65634 NJF65634 NTB65634 OCX65634 OMT65634 OWP65634 PGL65634 PQH65634 QAD65634 QJZ65634 QTV65634 RDR65634 RNN65634 RXJ65634 SHF65634 SRB65634 TAX65634 TKT65634 TUP65634 UEL65634 UOH65634 UYD65634 VHZ65634 VRV65634 WBR65634 WLN65634 WVJ65634 B131170 IX131170 ST131170 ACP131170 AML131170 AWH131170 BGD131170 BPZ131170 BZV131170 CJR131170 CTN131170 DDJ131170 DNF131170 DXB131170 EGX131170 EQT131170 FAP131170 FKL131170 FUH131170 GED131170 GNZ131170 GXV131170 HHR131170 HRN131170 IBJ131170 ILF131170 IVB131170 JEX131170 JOT131170 JYP131170 KIL131170 KSH131170 LCD131170 LLZ131170 LVV131170 MFR131170 MPN131170 MZJ131170 NJF131170 NTB131170 OCX131170 OMT131170 OWP131170 PGL131170 PQH131170 QAD131170 QJZ131170 QTV131170 RDR131170 RNN131170 RXJ131170 SHF131170 SRB131170 TAX131170 TKT131170 TUP131170 UEL131170 UOH131170 UYD131170 VHZ131170 VRV131170 WBR131170 WLN131170 WVJ131170 B196706 IX196706 ST196706 ACP196706 AML196706 AWH196706 BGD196706 BPZ196706 BZV196706 CJR196706 CTN196706 DDJ196706 DNF196706 DXB196706 EGX196706 EQT196706 FAP196706 FKL196706 FUH196706 GED196706 GNZ196706 GXV196706 HHR196706 HRN196706 IBJ196706 ILF196706 IVB196706 JEX196706 JOT196706 JYP196706 KIL196706 KSH196706 LCD196706 LLZ196706 LVV196706 MFR196706 MPN196706 MZJ196706 NJF196706 NTB196706 OCX196706 OMT196706 OWP196706 PGL196706 PQH196706 QAD196706 QJZ196706 QTV196706 RDR196706 RNN196706 RXJ196706 SHF196706 SRB196706 TAX196706 TKT196706 TUP196706 UEL196706 UOH196706 UYD196706 VHZ196706 VRV196706 WBR196706 WLN196706 WVJ196706 B262242 IX262242 ST262242 ACP262242 AML262242 AWH262242 BGD262242 BPZ262242 BZV262242 CJR262242 CTN262242 DDJ262242 DNF262242 DXB262242 EGX262242 EQT262242 FAP262242 FKL262242 FUH262242 GED262242 GNZ262242 GXV262242 HHR262242 HRN262242 IBJ262242 ILF262242 IVB262242 JEX262242 JOT262242 JYP262242 KIL262242 KSH262242 LCD262242 LLZ262242 LVV262242 MFR262242 MPN262242 MZJ262242 NJF262242 NTB262242 OCX262242 OMT262242 OWP262242 PGL262242 PQH262242 QAD262242 QJZ262242 QTV262242 RDR262242 RNN262242 RXJ262242 SHF262242 SRB262242 TAX262242 TKT262242 TUP262242 UEL262242 UOH262242 UYD262242 VHZ262242 VRV262242 WBR262242 WLN262242 WVJ262242 B327778 IX327778 ST327778 ACP327778 AML327778 AWH327778 BGD327778 BPZ327778 BZV327778 CJR327778 CTN327778 DDJ327778 DNF327778 DXB327778 EGX327778 EQT327778 FAP327778 FKL327778 FUH327778 GED327778 GNZ327778 GXV327778 HHR327778 HRN327778 IBJ327778 ILF327778 IVB327778 JEX327778 JOT327778 JYP327778 KIL327778 KSH327778 LCD327778 LLZ327778 LVV327778 MFR327778 MPN327778 MZJ327778 NJF327778 NTB327778 OCX327778 OMT327778 OWP327778 PGL327778 PQH327778 QAD327778 QJZ327778 QTV327778 RDR327778 RNN327778 RXJ327778 SHF327778 SRB327778 TAX327778 TKT327778 TUP327778 UEL327778 UOH327778 UYD327778 VHZ327778 VRV327778 WBR327778 WLN327778 WVJ327778 B393314 IX393314 ST393314 ACP393314 AML393314 AWH393314 BGD393314 BPZ393314 BZV393314 CJR393314 CTN393314 DDJ393314 DNF393314 DXB393314 EGX393314 EQT393314 FAP393314 FKL393314 FUH393314 GED393314 GNZ393314 GXV393314 HHR393314 HRN393314 IBJ393314 ILF393314 IVB393314 JEX393314 JOT393314 JYP393314 KIL393314 KSH393314 LCD393314 LLZ393314 LVV393314 MFR393314 MPN393314 MZJ393314 NJF393314 NTB393314 OCX393314 OMT393314 OWP393314 PGL393314 PQH393314 QAD393314 QJZ393314 QTV393314 RDR393314 RNN393314 RXJ393314 SHF393314 SRB393314 TAX393314 TKT393314 TUP393314 UEL393314 UOH393314 UYD393314 VHZ393314 VRV393314 WBR393314 WLN393314 WVJ393314 B458850 IX458850 ST458850 ACP458850 AML458850 AWH458850 BGD458850 BPZ458850 BZV458850 CJR458850 CTN458850 DDJ458850 DNF458850 DXB458850 EGX458850 EQT458850 FAP458850 FKL458850 FUH458850 GED458850 GNZ458850 GXV458850 HHR458850 HRN458850 IBJ458850 ILF458850 IVB458850 JEX458850 JOT458850 JYP458850 KIL458850 KSH458850 LCD458850 LLZ458850 LVV458850 MFR458850 MPN458850 MZJ458850 NJF458850 NTB458850 OCX458850 OMT458850 OWP458850 PGL458850 PQH458850 QAD458850 QJZ458850 QTV458850 RDR458850 RNN458850 RXJ458850 SHF458850 SRB458850 TAX458850 TKT458850 TUP458850 UEL458850 UOH458850 UYD458850 VHZ458850 VRV458850 WBR458850 WLN458850 WVJ458850 B524386 IX524386 ST524386 ACP524386 AML524386 AWH524386 BGD524386 BPZ524386 BZV524386 CJR524386 CTN524386 DDJ524386 DNF524386 DXB524386 EGX524386 EQT524386 FAP524386 FKL524386 FUH524386 GED524386 GNZ524386 GXV524386 HHR524386 HRN524386 IBJ524386 ILF524386 IVB524386 JEX524386 JOT524386 JYP524386 KIL524386 KSH524386 LCD524386 LLZ524386 LVV524386 MFR524386 MPN524386 MZJ524386 NJF524386 NTB524386 OCX524386 OMT524386 OWP524386 PGL524386 PQH524386 QAD524386 QJZ524386 QTV524386 RDR524386 RNN524386 RXJ524386 SHF524386 SRB524386 TAX524386 TKT524386 TUP524386 UEL524386 UOH524386 UYD524386 VHZ524386 VRV524386 WBR524386 WLN524386 WVJ524386 B589922 IX589922 ST589922 ACP589922 AML589922 AWH589922 BGD589922 BPZ589922 BZV589922 CJR589922 CTN589922 DDJ589922 DNF589922 DXB589922 EGX589922 EQT589922 FAP589922 FKL589922 FUH589922 GED589922 GNZ589922 GXV589922 HHR589922 HRN589922 IBJ589922 ILF589922 IVB589922 JEX589922 JOT589922 JYP589922 KIL589922 KSH589922 LCD589922 LLZ589922 LVV589922 MFR589922 MPN589922 MZJ589922 NJF589922 NTB589922 OCX589922 OMT589922 OWP589922 PGL589922 PQH589922 QAD589922 QJZ589922 QTV589922 RDR589922 RNN589922 RXJ589922 SHF589922 SRB589922 TAX589922 TKT589922 TUP589922 UEL589922 UOH589922 UYD589922 VHZ589922 VRV589922 WBR589922 WLN589922 WVJ589922 B655458 IX655458 ST655458 ACP655458 AML655458 AWH655458 BGD655458 BPZ655458 BZV655458 CJR655458 CTN655458 DDJ655458 DNF655458 DXB655458 EGX655458 EQT655458 FAP655458 FKL655458 FUH655458 GED655458 GNZ655458 GXV655458 HHR655458 HRN655458 IBJ655458 ILF655458 IVB655458 JEX655458 JOT655458 JYP655458 KIL655458 KSH655458 LCD655458 LLZ655458 LVV655458 MFR655458 MPN655458 MZJ655458 NJF655458 NTB655458 OCX655458 OMT655458 OWP655458 PGL655458 PQH655458 QAD655458 QJZ655458 QTV655458 RDR655458 RNN655458 RXJ655458 SHF655458 SRB655458 TAX655458 TKT655458 TUP655458 UEL655458 UOH655458 UYD655458 VHZ655458 VRV655458 WBR655458 WLN655458 WVJ655458 B720994 IX720994 ST720994 ACP720994 AML720994 AWH720994 BGD720994 BPZ720994 BZV720994 CJR720994 CTN720994 DDJ720994 DNF720994 DXB720994 EGX720994 EQT720994 FAP720994 FKL720994 FUH720994 GED720994 GNZ720994 GXV720994 HHR720994 HRN720994 IBJ720994 ILF720994 IVB720994 JEX720994 JOT720994 JYP720994 KIL720994 KSH720994 LCD720994 LLZ720994 LVV720994 MFR720994 MPN720994 MZJ720994 NJF720994 NTB720994 OCX720994 OMT720994 OWP720994 PGL720994 PQH720994 QAD720994 QJZ720994 QTV720994 RDR720994 RNN720994 RXJ720994 SHF720994 SRB720994 TAX720994 TKT720994 TUP720994 UEL720994 UOH720994 UYD720994 VHZ720994 VRV720994 WBR720994 WLN720994 WVJ720994 B786530 IX786530 ST786530 ACP786530 AML786530 AWH786530 BGD786530 BPZ786530 BZV786530 CJR786530 CTN786530 DDJ786530 DNF786530 DXB786530 EGX786530 EQT786530 FAP786530 FKL786530 FUH786530 GED786530 GNZ786530 GXV786530 HHR786530 HRN786530 IBJ786530 ILF786530 IVB786530 JEX786530 JOT786530 JYP786530 KIL786530 KSH786530 LCD786530 LLZ786530 LVV786530 MFR786530 MPN786530 MZJ786530 NJF786530 NTB786530 OCX786530 OMT786530 OWP786530 PGL786530 PQH786530 QAD786530 QJZ786530 QTV786530 RDR786530 RNN786530 RXJ786530 SHF786530 SRB786530 TAX786530 TKT786530 TUP786530 UEL786530 UOH786530 UYD786530 VHZ786530 VRV786530 WBR786530 WLN786530 WVJ786530 B852066 IX852066 ST852066 ACP852066 AML852066 AWH852066 BGD852066 BPZ852066 BZV852066 CJR852066 CTN852066 DDJ852066 DNF852066 DXB852066 EGX852066 EQT852066 FAP852066 FKL852066 FUH852066 GED852066 GNZ852066 GXV852066 HHR852066 HRN852066 IBJ852066 ILF852066 IVB852066 JEX852066 JOT852066 JYP852066 KIL852066 KSH852066 LCD852066 LLZ852066 LVV852066 MFR852066 MPN852066 MZJ852066 NJF852066 NTB852066 OCX852066 OMT852066 OWP852066 PGL852066 PQH852066 QAD852066 QJZ852066 QTV852066 RDR852066 RNN852066 RXJ852066 SHF852066 SRB852066 TAX852066 TKT852066 TUP852066 UEL852066 UOH852066 UYD852066 VHZ852066 VRV852066 WBR852066 WLN852066 WVJ852066 B917602 IX917602 ST917602 ACP917602 AML917602 AWH917602 BGD917602 BPZ917602 BZV917602 CJR917602 CTN917602 DDJ917602 DNF917602 DXB917602 EGX917602 EQT917602 FAP917602 FKL917602 FUH917602 GED917602 GNZ917602 GXV917602 HHR917602 HRN917602 IBJ917602 ILF917602 IVB917602 JEX917602 JOT917602 JYP917602 KIL917602 KSH917602 LCD917602 LLZ917602 LVV917602 MFR917602 MPN917602 MZJ917602 NJF917602 NTB917602 OCX917602 OMT917602 OWP917602 PGL917602 PQH917602 QAD917602 QJZ917602 QTV917602 RDR917602 RNN917602 RXJ917602 SHF917602 SRB917602 TAX917602 TKT917602 TUP917602 UEL917602 UOH917602 UYD917602 VHZ917602 VRV917602 WBR917602 WLN917602 WVJ917602 B983138 IX983138 ST983138 ACP983138 AML983138 AWH983138 BGD983138 BPZ983138 BZV983138 CJR983138 CTN983138 DDJ983138 DNF983138 DXB983138 EGX983138 EQT983138 FAP983138 FKL983138 FUH983138 GED983138 GNZ983138 GXV983138 HHR983138 HRN983138 IBJ983138 ILF983138 IVB983138 JEX983138 JOT983138 JYP983138 KIL983138 KSH983138 LCD983138 LLZ983138 LVV983138 MFR983138 MPN983138 MZJ983138 NJF983138 NTB983138 OCX983138 OMT983138 OWP983138 PGL983138 PQH983138 QAD983138 QJZ983138 QTV983138 RDR983138 RNN983138 RXJ983138 SHF983138 SRB983138 TAX983138 TKT983138 TUP983138 UEL983138 UOH983138 UYD983138 VHZ983138 VRV983138 WBR983138 WLN983138 WVJ983138 B114 IX114 ST114 ACP114 AML114 AWH114 BGD114 BPZ114 BZV114 CJR114 CTN114 DDJ114 DNF114 DXB114 EGX114 EQT114 FAP114 FKL114 FUH114 GED114 GNZ114 GXV114 HHR114 HRN114 IBJ114 ILF114 IVB114 JEX114 JOT114 JYP114 KIL114 KSH114 LCD114 LLZ114 LVV114 MFR114 MPN114 MZJ114 NJF114 NTB114 OCX114 OMT114 OWP114 PGL114 PQH114 QAD114 QJZ114 QTV114 RDR114 RNN114 RXJ114 SHF114 SRB114 TAX114 TKT114 TUP114 UEL114 UOH114 UYD114 VHZ114 VRV114 WBR114 WLN114 WVJ114 B65650 IX65650 ST65650 ACP65650 AML65650 AWH65650 BGD65650 BPZ65650 BZV65650 CJR65650 CTN65650 DDJ65650 DNF65650 DXB65650 EGX65650 EQT65650 FAP65650 FKL65650 FUH65650 GED65650 GNZ65650 GXV65650 HHR65650 HRN65650 IBJ65650 ILF65650 IVB65650 JEX65650 JOT65650 JYP65650 KIL65650 KSH65650 LCD65650 LLZ65650 LVV65650 MFR65650 MPN65650 MZJ65650 NJF65650 NTB65650 OCX65650 OMT65650 OWP65650 PGL65650 PQH65650 QAD65650 QJZ65650 QTV65650 RDR65650 RNN65650 RXJ65650 SHF65650 SRB65650 TAX65650 TKT65650 TUP65650 UEL65650 UOH65650 UYD65650 VHZ65650 VRV65650 WBR65650 WLN65650 WVJ65650 B131186 IX131186 ST131186 ACP131186 AML131186 AWH131186 BGD131186 BPZ131186 BZV131186 CJR131186 CTN131186 DDJ131186 DNF131186 DXB131186 EGX131186 EQT131186 FAP131186 FKL131186 FUH131186 GED131186 GNZ131186 GXV131186 HHR131186 HRN131186 IBJ131186 ILF131186 IVB131186 JEX131186 JOT131186 JYP131186 KIL131186 KSH131186 LCD131186 LLZ131186 LVV131186 MFR131186 MPN131186 MZJ131186 NJF131186 NTB131186 OCX131186 OMT131186 OWP131186 PGL131186 PQH131186 QAD131186 QJZ131186 QTV131186 RDR131186 RNN131186 RXJ131186 SHF131186 SRB131186 TAX131186 TKT131186 TUP131186 UEL131186 UOH131186 UYD131186 VHZ131186 VRV131186 WBR131186 WLN131186 WVJ131186 B196722 IX196722 ST196722 ACP196722 AML196722 AWH196722 BGD196722 BPZ196722 BZV196722 CJR196722 CTN196722 DDJ196722 DNF196722 DXB196722 EGX196722 EQT196722 FAP196722 FKL196722 FUH196722 GED196722 GNZ196722 GXV196722 HHR196722 HRN196722 IBJ196722 ILF196722 IVB196722 JEX196722 JOT196722 JYP196722 KIL196722 KSH196722 LCD196722 LLZ196722 LVV196722 MFR196722 MPN196722 MZJ196722 NJF196722 NTB196722 OCX196722 OMT196722 OWP196722 PGL196722 PQH196722 QAD196722 QJZ196722 QTV196722 RDR196722 RNN196722 RXJ196722 SHF196722 SRB196722 TAX196722 TKT196722 TUP196722 UEL196722 UOH196722 UYD196722 VHZ196722 VRV196722 WBR196722 WLN196722 WVJ196722 B262258 IX262258 ST262258 ACP262258 AML262258 AWH262258 BGD262258 BPZ262258 BZV262258 CJR262258 CTN262258 DDJ262258 DNF262258 DXB262258 EGX262258 EQT262258 FAP262258 FKL262258 FUH262258 GED262258 GNZ262258 GXV262258 HHR262258 HRN262258 IBJ262258 ILF262258 IVB262258 JEX262258 JOT262258 JYP262258 KIL262258 KSH262258 LCD262258 LLZ262258 LVV262258 MFR262258 MPN262258 MZJ262258 NJF262258 NTB262258 OCX262258 OMT262258 OWP262258 PGL262258 PQH262258 QAD262258 QJZ262258 QTV262258 RDR262258 RNN262258 RXJ262258 SHF262258 SRB262258 TAX262258 TKT262258 TUP262258 UEL262258 UOH262258 UYD262258 VHZ262258 VRV262258 WBR262258 WLN262258 WVJ262258 B327794 IX327794 ST327794 ACP327794 AML327794 AWH327794 BGD327794 BPZ327794 BZV327794 CJR327794 CTN327794 DDJ327794 DNF327794 DXB327794 EGX327794 EQT327794 FAP327794 FKL327794 FUH327794 GED327794 GNZ327794 GXV327794 HHR327794 HRN327794 IBJ327794 ILF327794 IVB327794 JEX327794 JOT327794 JYP327794 KIL327794 KSH327794 LCD327794 LLZ327794 LVV327794 MFR327794 MPN327794 MZJ327794 NJF327794 NTB327794 OCX327794 OMT327794 OWP327794 PGL327794 PQH327794 QAD327794 QJZ327794 QTV327794 RDR327794 RNN327794 RXJ327794 SHF327794 SRB327794 TAX327794 TKT327794 TUP327794 UEL327794 UOH327794 UYD327794 VHZ327794 VRV327794 WBR327794 WLN327794 WVJ327794 B393330 IX393330 ST393330 ACP393330 AML393330 AWH393330 BGD393330 BPZ393330 BZV393330 CJR393330 CTN393330 DDJ393330 DNF393330 DXB393330 EGX393330 EQT393330 FAP393330 FKL393330 FUH393330 GED393330 GNZ393330 GXV393330 HHR393330 HRN393330 IBJ393330 ILF393330 IVB393330 JEX393330 JOT393330 JYP393330 KIL393330 KSH393330 LCD393330 LLZ393330 LVV393330 MFR393330 MPN393330 MZJ393330 NJF393330 NTB393330 OCX393330 OMT393330 OWP393330 PGL393330 PQH393330 QAD393330 QJZ393330 QTV393330 RDR393330 RNN393330 RXJ393330 SHF393330 SRB393330 TAX393330 TKT393330 TUP393330 UEL393330 UOH393330 UYD393330 VHZ393330 VRV393330 WBR393330 WLN393330 WVJ393330 B458866 IX458866 ST458866 ACP458866 AML458866 AWH458866 BGD458866 BPZ458866 BZV458866 CJR458866 CTN458866 DDJ458866 DNF458866 DXB458866 EGX458866 EQT458866 FAP458866 FKL458866 FUH458866 GED458866 GNZ458866 GXV458866 HHR458866 HRN458866 IBJ458866 ILF458866 IVB458866 JEX458866 JOT458866 JYP458866 KIL458866 KSH458866 LCD458866 LLZ458866 LVV458866 MFR458866 MPN458866 MZJ458866 NJF458866 NTB458866 OCX458866 OMT458866 OWP458866 PGL458866 PQH458866 QAD458866 QJZ458866 QTV458866 RDR458866 RNN458866 RXJ458866 SHF458866 SRB458866 TAX458866 TKT458866 TUP458866 UEL458866 UOH458866 UYD458866 VHZ458866 VRV458866 WBR458866 WLN458866 WVJ458866 B524402 IX524402 ST524402 ACP524402 AML524402 AWH524402 BGD524402 BPZ524402 BZV524402 CJR524402 CTN524402 DDJ524402 DNF524402 DXB524402 EGX524402 EQT524402 FAP524402 FKL524402 FUH524402 GED524402 GNZ524402 GXV524402 HHR524402 HRN524402 IBJ524402 ILF524402 IVB524402 JEX524402 JOT524402 JYP524402 KIL524402 KSH524402 LCD524402 LLZ524402 LVV524402 MFR524402 MPN524402 MZJ524402 NJF524402 NTB524402 OCX524402 OMT524402 OWP524402 PGL524402 PQH524402 QAD524402 QJZ524402 QTV524402 RDR524402 RNN524402 RXJ524402 SHF524402 SRB524402 TAX524402 TKT524402 TUP524402 UEL524402 UOH524402 UYD524402 VHZ524402 VRV524402 WBR524402 WLN524402 WVJ524402 B589938 IX589938 ST589938 ACP589938 AML589938 AWH589938 BGD589938 BPZ589938 BZV589938 CJR589938 CTN589938 DDJ589938 DNF589938 DXB589938 EGX589938 EQT589938 FAP589938 FKL589938 FUH589938 GED589938 GNZ589938 GXV589938 HHR589938 HRN589938 IBJ589938 ILF589938 IVB589938 JEX589938 JOT589938 JYP589938 KIL589938 KSH589938 LCD589938 LLZ589938 LVV589938 MFR589938 MPN589938 MZJ589938 NJF589938 NTB589938 OCX589938 OMT589938 OWP589938 PGL589938 PQH589938 QAD589938 QJZ589938 QTV589938 RDR589938 RNN589938 RXJ589938 SHF589938 SRB589938 TAX589938 TKT589938 TUP589938 UEL589938 UOH589938 UYD589938 VHZ589938 VRV589938 WBR589938 WLN589938 WVJ589938 B655474 IX655474 ST655474 ACP655474 AML655474 AWH655474 BGD655474 BPZ655474 BZV655474 CJR655474 CTN655474 DDJ655474 DNF655474 DXB655474 EGX655474 EQT655474 FAP655474 FKL655474 FUH655474 GED655474 GNZ655474 GXV655474 HHR655474 HRN655474 IBJ655474 ILF655474 IVB655474 JEX655474 JOT655474 JYP655474 KIL655474 KSH655474 LCD655474 LLZ655474 LVV655474 MFR655474 MPN655474 MZJ655474 NJF655474 NTB655474 OCX655474 OMT655474 OWP655474 PGL655474 PQH655474 QAD655474 QJZ655474 QTV655474 RDR655474 RNN655474 RXJ655474 SHF655474 SRB655474 TAX655474 TKT655474 TUP655474 UEL655474 UOH655474 UYD655474 VHZ655474 VRV655474 WBR655474 WLN655474 WVJ655474 B721010 IX721010 ST721010 ACP721010 AML721010 AWH721010 BGD721010 BPZ721010 BZV721010 CJR721010 CTN721010 DDJ721010 DNF721010 DXB721010 EGX721010 EQT721010 FAP721010 FKL721010 FUH721010 GED721010 GNZ721010 GXV721010 HHR721010 HRN721010 IBJ721010 ILF721010 IVB721010 JEX721010 JOT721010 JYP721010 KIL721010 KSH721010 LCD721010 LLZ721010 LVV721010 MFR721010 MPN721010 MZJ721010 NJF721010 NTB721010 OCX721010 OMT721010 OWP721010 PGL721010 PQH721010 QAD721010 QJZ721010 QTV721010 RDR721010 RNN721010 RXJ721010 SHF721010 SRB721010 TAX721010 TKT721010 TUP721010 UEL721010 UOH721010 UYD721010 VHZ721010 VRV721010 WBR721010 WLN721010 WVJ721010 B786546 IX786546 ST786546 ACP786546 AML786546 AWH786546 BGD786546 BPZ786546 BZV786546 CJR786546 CTN786546 DDJ786546 DNF786546 DXB786546 EGX786546 EQT786546 FAP786546 FKL786546 FUH786546 GED786546 GNZ786546 GXV786546 HHR786546 HRN786546 IBJ786546 ILF786546 IVB786546 JEX786546 JOT786546 JYP786546 KIL786546 KSH786546 LCD786546 LLZ786546 LVV786546 MFR786546 MPN786546 MZJ786546 NJF786546 NTB786546 OCX786546 OMT786546 OWP786546 PGL786546 PQH786546 QAD786546 QJZ786546 QTV786546 RDR786546 RNN786546 RXJ786546 SHF786546 SRB786546 TAX786546 TKT786546 TUP786546 UEL786546 UOH786546 UYD786546 VHZ786546 VRV786546 WBR786546 WLN786546 WVJ786546 B852082 IX852082 ST852082 ACP852082 AML852082 AWH852082 BGD852082 BPZ852082 BZV852082 CJR852082 CTN852082 DDJ852082 DNF852082 DXB852082 EGX852082 EQT852082 FAP852082 FKL852082 FUH852082 GED852082 GNZ852082 GXV852082 HHR852082 HRN852082 IBJ852082 ILF852082 IVB852082 JEX852082 JOT852082 JYP852082 KIL852082 KSH852082 LCD852082 LLZ852082 LVV852082 MFR852082 MPN852082 MZJ852082 NJF852082 NTB852082 OCX852082 OMT852082 OWP852082 PGL852082 PQH852082 QAD852082 QJZ852082 QTV852082 RDR852082 RNN852082 RXJ852082 SHF852082 SRB852082 TAX852082 TKT852082 TUP852082 UEL852082 UOH852082 UYD852082 VHZ852082 VRV852082 WBR852082 WLN852082 WVJ852082 B917618 IX917618 ST917618 ACP917618 AML917618 AWH917618 BGD917618 BPZ917618 BZV917618 CJR917618 CTN917618 DDJ917618 DNF917618 DXB917618 EGX917618 EQT917618 FAP917618 FKL917618 FUH917618 GED917618 GNZ917618 GXV917618 HHR917618 HRN917618 IBJ917618 ILF917618 IVB917618 JEX917618 JOT917618 JYP917618 KIL917618 KSH917618 LCD917618 LLZ917618 LVV917618 MFR917618 MPN917618 MZJ917618 NJF917618 NTB917618 OCX917618 OMT917618 OWP917618 PGL917618 PQH917618 QAD917618 QJZ917618 QTV917618 RDR917618 RNN917618 RXJ917618 SHF917618 SRB917618 TAX917618 TKT917618 TUP917618 UEL917618 UOH917618 UYD917618 VHZ917618 VRV917618 WBR917618 WLN917618 WVJ917618 B983154 IX983154 ST983154 ACP983154 AML983154 AWH983154 BGD983154 BPZ983154 BZV983154 CJR983154 CTN983154 DDJ983154 DNF983154 DXB983154 EGX983154 EQT983154 FAP983154 FKL983154 FUH983154 GED983154 GNZ983154 GXV983154 HHR983154 HRN983154 IBJ983154 ILF983154 IVB983154 JEX983154 JOT983154 JYP983154 KIL983154 KSH983154 LCD983154 LLZ983154 LVV983154 MFR983154 MPN983154 MZJ983154 NJF983154 NTB983154 OCX983154 OMT983154 OWP983154 PGL983154 PQH983154 QAD983154 QJZ983154 QTV983154 RDR983154 RNN983154 RXJ983154 SHF983154 SRB983154 TAX983154 TKT983154 TUP983154 UEL983154 UOH983154 UYD983154 VHZ983154 VRV983154 WBR983154 WLN983154 WVJ983154 B130 IX130 ST130 ACP130 AML130 AWH130 BGD130 BPZ130 BZV130 CJR130 CTN130 DDJ130 DNF130 DXB130 EGX130 EQT130 FAP130 FKL130 FUH130 GED130 GNZ130 GXV130 HHR130 HRN130 IBJ130 ILF130 IVB130 JEX130 JOT130 JYP130 KIL130 KSH130 LCD130 LLZ130 LVV130 MFR130 MPN130 MZJ130 NJF130 NTB130 OCX130 OMT130 OWP130 PGL130 PQH130 QAD130 QJZ130 QTV130 RDR130 RNN130 RXJ130 SHF130 SRB130 TAX130 TKT130 TUP130 UEL130 UOH130 UYD130 VHZ130 VRV130 WBR130 WLN130 WVJ130 B65666 IX65666 ST65666 ACP65666 AML65666 AWH65666 BGD65666 BPZ65666 BZV65666 CJR65666 CTN65666 DDJ65666 DNF65666 DXB65666 EGX65666 EQT65666 FAP65666 FKL65666 FUH65666 GED65666 GNZ65666 GXV65666 HHR65666 HRN65666 IBJ65666 ILF65666 IVB65666 JEX65666 JOT65666 JYP65666 KIL65666 KSH65666 LCD65666 LLZ65666 LVV65666 MFR65666 MPN65666 MZJ65666 NJF65666 NTB65666 OCX65666 OMT65666 OWP65666 PGL65666 PQH65666 QAD65666 QJZ65666 QTV65666 RDR65666 RNN65666 RXJ65666 SHF65666 SRB65666 TAX65666 TKT65666 TUP65666 UEL65666 UOH65666 UYD65666 VHZ65666 VRV65666 WBR65666 WLN65666 WVJ65666 B131202 IX131202 ST131202 ACP131202 AML131202 AWH131202 BGD131202 BPZ131202 BZV131202 CJR131202 CTN131202 DDJ131202 DNF131202 DXB131202 EGX131202 EQT131202 FAP131202 FKL131202 FUH131202 GED131202 GNZ131202 GXV131202 HHR131202 HRN131202 IBJ131202 ILF131202 IVB131202 JEX131202 JOT131202 JYP131202 KIL131202 KSH131202 LCD131202 LLZ131202 LVV131202 MFR131202 MPN131202 MZJ131202 NJF131202 NTB131202 OCX131202 OMT131202 OWP131202 PGL131202 PQH131202 QAD131202 QJZ131202 QTV131202 RDR131202 RNN131202 RXJ131202 SHF131202 SRB131202 TAX131202 TKT131202 TUP131202 UEL131202 UOH131202 UYD131202 VHZ131202 VRV131202 WBR131202 WLN131202 WVJ131202 B196738 IX196738 ST196738 ACP196738 AML196738 AWH196738 BGD196738 BPZ196738 BZV196738 CJR196738 CTN196738 DDJ196738 DNF196738 DXB196738 EGX196738 EQT196738 FAP196738 FKL196738 FUH196738 GED196738 GNZ196738 GXV196738 HHR196738 HRN196738 IBJ196738 ILF196738 IVB196738 JEX196738 JOT196738 JYP196738 KIL196738 KSH196738 LCD196738 LLZ196738 LVV196738 MFR196738 MPN196738 MZJ196738 NJF196738 NTB196738 OCX196738 OMT196738 OWP196738 PGL196738 PQH196738 QAD196738 QJZ196738 QTV196738 RDR196738 RNN196738 RXJ196738 SHF196738 SRB196738 TAX196738 TKT196738 TUP196738 UEL196738 UOH196738 UYD196738 VHZ196738 VRV196738 WBR196738 WLN196738 WVJ196738 B262274 IX262274 ST262274 ACP262274 AML262274 AWH262274 BGD262274 BPZ262274 BZV262274 CJR262274 CTN262274 DDJ262274 DNF262274 DXB262274 EGX262274 EQT262274 FAP262274 FKL262274 FUH262274 GED262274 GNZ262274 GXV262274 HHR262274 HRN262274 IBJ262274 ILF262274 IVB262274 JEX262274 JOT262274 JYP262274 KIL262274 KSH262274 LCD262274 LLZ262274 LVV262274 MFR262274 MPN262274 MZJ262274 NJF262274 NTB262274 OCX262274 OMT262274 OWP262274 PGL262274 PQH262274 QAD262274 QJZ262274 QTV262274 RDR262274 RNN262274 RXJ262274 SHF262274 SRB262274 TAX262274 TKT262274 TUP262274 UEL262274 UOH262274 UYD262274 VHZ262274 VRV262274 WBR262274 WLN262274 WVJ262274 B327810 IX327810 ST327810 ACP327810 AML327810 AWH327810 BGD327810 BPZ327810 BZV327810 CJR327810 CTN327810 DDJ327810 DNF327810 DXB327810 EGX327810 EQT327810 FAP327810 FKL327810 FUH327810 GED327810 GNZ327810 GXV327810 HHR327810 HRN327810 IBJ327810 ILF327810 IVB327810 JEX327810 JOT327810 JYP327810 KIL327810 KSH327810 LCD327810 LLZ327810 LVV327810 MFR327810 MPN327810 MZJ327810 NJF327810 NTB327810 OCX327810 OMT327810 OWP327810 PGL327810 PQH327810 QAD327810 QJZ327810 QTV327810 RDR327810 RNN327810 RXJ327810 SHF327810 SRB327810 TAX327810 TKT327810 TUP327810 UEL327810 UOH327810 UYD327810 VHZ327810 VRV327810 WBR327810 WLN327810 WVJ327810 B393346 IX393346 ST393346 ACP393346 AML393346 AWH393346 BGD393346 BPZ393346 BZV393346 CJR393346 CTN393346 DDJ393346 DNF393346 DXB393346 EGX393346 EQT393346 FAP393346 FKL393346 FUH393346 GED393346 GNZ393346 GXV393346 HHR393346 HRN393346 IBJ393346 ILF393346 IVB393346 JEX393346 JOT393346 JYP393346 KIL393346 KSH393346 LCD393346 LLZ393346 LVV393346 MFR393346 MPN393346 MZJ393346 NJF393346 NTB393346 OCX393346 OMT393346 OWP393346 PGL393346 PQH393346 QAD393346 QJZ393346 QTV393346 RDR393346 RNN393346 RXJ393346 SHF393346 SRB393346 TAX393346 TKT393346 TUP393346 UEL393346 UOH393346 UYD393346 VHZ393346 VRV393346 WBR393346 WLN393346 WVJ393346 B458882 IX458882 ST458882 ACP458882 AML458882 AWH458882 BGD458882 BPZ458882 BZV458882 CJR458882 CTN458882 DDJ458882 DNF458882 DXB458882 EGX458882 EQT458882 FAP458882 FKL458882 FUH458882 GED458882 GNZ458882 GXV458882 HHR458882 HRN458882 IBJ458882 ILF458882 IVB458882 JEX458882 JOT458882 JYP458882 KIL458882 KSH458882 LCD458882 LLZ458882 LVV458882 MFR458882 MPN458882 MZJ458882 NJF458882 NTB458882 OCX458882 OMT458882 OWP458882 PGL458882 PQH458882 QAD458882 QJZ458882 QTV458882 RDR458882 RNN458882 RXJ458882 SHF458882 SRB458882 TAX458882 TKT458882 TUP458882 UEL458882 UOH458882 UYD458882 VHZ458882 VRV458882 WBR458882 WLN458882 WVJ458882 B524418 IX524418 ST524418 ACP524418 AML524418 AWH524418 BGD524418 BPZ524418 BZV524418 CJR524418 CTN524418 DDJ524418 DNF524418 DXB524418 EGX524418 EQT524418 FAP524418 FKL524418 FUH524418 GED524418 GNZ524418 GXV524418 HHR524418 HRN524418 IBJ524418 ILF524418 IVB524418 JEX524418 JOT524418 JYP524418 KIL524418 KSH524418 LCD524418 LLZ524418 LVV524418 MFR524418 MPN524418 MZJ524418 NJF524418 NTB524418 OCX524418 OMT524418 OWP524418 PGL524418 PQH524418 QAD524418 QJZ524418 QTV524418 RDR524418 RNN524418 RXJ524418 SHF524418 SRB524418 TAX524418 TKT524418 TUP524418 UEL524418 UOH524418 UYD524418 VHZ524418 VRV524418 WBR524418 WLN524418 WVJ524418 B589954 IX589954 ST589954 ACP589954 AML589954 AWH589954 BGD589954 BPZ589954 BZV589954 CJR589954 CTN589954 DDJ589954 DNF589954 DXB589954 EGX589954 EQT589954 FAP589954 FKL589954 FUH589954 GED589954 GNZ589954 GXV589954 HHR589954 HRN589954 IBJ589954 ILF589954 IVB589954 JEX589954 JOT589954 JYP589954 KIL589954 KSH589954 LCD589954 LLZ589954 LVV589954 MFR589954 MPN589954 MZJ589954 NJF589954 NTB589954 OCX589954 OMT589954 OWP589954 PGL589954 PQH589954 QAD589954 QJZ589954 QTV589954 RDR589954 RNN589954 RXJ589954 SHF589954 SRB589954 TAX589954 TKT589954 TUP589954 UEL589954 UOH589954 UYD589954 VHZ589954 VRV589954 WBR589954 WLN589954 WVJ589954 B655490 IX655490 ST655490 ACP655490 AML655490 AWH655490 BGD655490 BPZ655490 BZV655490 CJR655490 CTN655490 DDJ655490 DNF655490 DXB655490 EGX655490 EQT655490 FAP655490 FKL655490 FUH655490 GED655490 GNZ655490 GXV655490 HHR655490 HRN655490 IBJ655490 ILF655490 IVB655490 JEX655490 JOT655490 JYP655490 KIL655490 KSH655490 LCD655490 LLZ655490 LVV655490 MFR655490 MPN655490 MZJ655490 NJF655490 NTB655490 OCX655490 OMT655490 OWP655490 PGL655490 PQH655490 QAD655490 QJZ655490 QTV655490 RDR655490 RNN655490 RXJ655490 SHF655490 SRB655490 TAX655490 TKT655490 TUP655490 UEL655490 UOH655490 UYD655490 VHZ655490 VRV655490 WBR655490 WLN655490 WVJ655490 B721026 IX721026 ST721026 ACP721026 AML721026 AWH721026 BGD721026 BPZ721026 BZV721026 CJR721026 CTN721026 DDJ721026 DNF721026 DXB721026 EGX721026 EQT721026 FAP721026 FKL721026 FUH721026 GED721026 GNZ721026 GXV721026 HHR721026 HRN721026 IBJ721026 ILF721026 IVB721026 JEX721026 JOT721026 JYP721026 KIL721026 KSH721026 LCD721026 LLZ721026 LVV721026 MFR721026 MPN721026 MZJ721026 NJF721026 NTB721026 OCX721026 OMT721026 OWP721026 PGL721026 PQH721026 QAD721026 QJZ721026 QTV721026 RDR721026 RNN721026 RXJ721026 SHF721026 SRB721026 TAX721026 TKT721026 TUP721026 UEL721026 UOH721026 UYD721026 VHZ721026 VRV721026 WBR721026 WLN721026 WVJ721026 B786562 IX786562 ST786562 ACP786562 AML786562 AWH786562 BGD786562 BPZ786562 BZV786562 CJR786562 CTN786562 DDJ786562 DNF786562 DXB786562 EGX786562 EQT786562 FAP786562 FKL786562 FUH786562 GED786562 GNZ786562 GXV786562 HHR786562 HRN786562 IBJ786562 ILF786562 IVB786562 JEX786562 JOT786562 JYP786562 KIL786562 KSH786562 LCD786562 LLZ786562 LVV786562 MFR786562 MPN786562 MZJ786562 NJF786562 NTB786562 OCX786562 OMT786562 OWP786562 PGL786562 PQH786562 QAD786562 QJZ786562 QTV786562 RDR786562 RNN786562 RXJ786562 SHF786562 SRB786562 TAX786562 TKT786562 TUP786562 UEL786562 UOH786562 UYD786562 VHZ786562 VRV786562 WBR786562 WLN786562 WVJ786562 B852098 IX852098 ST852098 ACP852098 AML852098 AWH852098 BGD852098 BPZ852098 BZV852098 CJR852098 CTN852098 DDJ852098 DNF852098 DXB852098 EGX852098 EQT852098 FAP852098 FKL852098 FUH852098 GED852098 GNZ852098 GXV852098 HHR852098 HRN852098 IBJ852098 ILF852098 IVB852098 JEX852098 JOT852098 JYP852098 KIL852098 KSH852098 LCD852098 LLZ852098 LVV852098 MFR852098 MPN852098 MZJ852098 NJF852098 NTB852098 OCX852098 OMT852098 OWP852098 PGL852098 PQH852098 QAD852098 QJZ852098 QTV852098 RDR852098 RNN852098 RXJ852098 SHF852098 SRB852098 TAX852098 TKT852098 TUP852098 UEL852098 UOH852098 UYD852098 VHZ852098 VRV852098 WBR852098 WLN852098 WVJ852098 B917634 IX917634 ST917634 ACP917634 AML917634 AWH917634 BGD917634 BPZ917634 BZV917634 CJR917634 CTN917634 DDJ917634 DNF917634 DXB917634 EGX917634 EQT917634 FAP917634 FKL917634 FUH917634 GED917634 GNZ917634 GXV917634 HHR917634 HRN917634 IBJ917634 ILF917634 IVB917634 JEX917634 JOT917634 JYP917634 KIL917634 KSH917634 LCD917634 LLZ917634 LVV917634 MFR917634 MPN917634 MZJ917634 NJF917634 NTB917634 OCX917634 OMT917634 OWP917634 PGL917634 PQH917634 QAD917634 QJZ917634 QTV917634 RDR917634 RNN917634 RXJ917634 SHF917634 SRB917634 TAX917634 TKT917634 TUP917634 UEL917634 UOH917634 UYD917634 VHZ917634 VRV917634 WBR917634 WLN917634 WVJ917634 B983170 IX983170 ST983170 ACP983170 AML983170 AWH983170 BGD983170 BPZ983170 BZV983170 CJR983170 CTN983170 DDJ983170 DNF983170 DXB983170 EGX983170 EQT983170 FAP983170 FKL983170 FUH983170 GED983170 GNZ983170 GXV983170 HHR983170 HRN983170 IBJ983170 ILF983170 IVB983170 JEX983170 JOT983170 JYP983170 KIL983170 KSH983170 LCD983170 LLZ983170 LVV983170 MFR983170 MPN983170 MZJ983170 NJF983170 NTB983170 OCX983170 OMT983170 OWP983170 PGL983170 PQH983170 QAD983170 QJZ983170 QTV983170 RDR983170 RNN983170 RXJ983170 SHF983170 SRB983170 TAX983170 TKT983170 TUP983170 UEL983170 UOH983170 UYD983170 VHZ983170 VRV983170 WBR983170 WLN983170 WVJ983170 B146 IX146 ST146 ACP146 AML146 AWH146 BGD146 BPZ146 BZV146 CJR146 CTN146 DDJ146 DNF146 DXB146 EGX146 EQT146 FAP146 FKL146 FUH146 GED146 GNZ146 GXV146 HHR146 HRN146 IBJ146 ILF146 IVB146 JEX146 JOT146 JYP146 KIL146 KSH146 LCD146 LLZ146 LVV146 MFR146 MPN146 MZJ146 NJF146 NTB146 OCX146 OMT146 OWP146 PGL146 PQH146 QAD146 QJZ146 QTV146 RDR146 RNN146 RXJ146 SHF146 SRB146 TAX146 TKT146 TUP146 UEL146 UOH146 UYD146 VHZ146 VRV146 WBR146 WLN146 WVJ146 B65682 IX65682 ST65682 ACP65682 AML65682 AWH65682 BGD65682 BPZ65682 BZV65682 CJR65682 CTN65682 DDJ65682 DNF65682 DXB65682 EGX65682 EQT65682 FAP65682 FKL65682 FUH65682 GED65682 GNZ65682 GXV65682 HHR65682 HRN65682 IBJ65682 ILF65682 IVB65682 JEX65682 JOT65682 JYP65682 KIL65682 KSH65682 LCD65682 LLZ65682 LVV65682 MFR65682 MPN65682 MZJ65682 NJF65682 NTB65682 OCX65682 OMT65682 OWP65682 PGL65682 PQH65682 QAD65682 QJZ65682 QTV65682 RDR65682 RNN65682 RXJ65682 SHF65682 SRB65682 TAX65682 TKT65682 TUP65682 UEL65682 UOH65682 UYD65682 VHZ65682 VRV65682 WBR65682 WLN65682 WVJ65682 B131218 IX131218 ST131218 ACP131218 AML131218 AWH131218 BGD131218 BPZ131218 BZV131218 CJR131218 CTN131218 DDJ131218 DNF131218 DXB131218 EGX131218 EQT131218 FAP131218 FKL131218 FUH131218 GED131218 GNZ131218 GXV131218 HHR131218 HRN131218 IBJ131218 ILF131218 IVB131218 JEX131218 JOT131218 JYP131218 KIL131218 KSH131218 LCD131218 LLZ131218 LVV131218 MFR131218 MPN131218 MZJ131218 NJF131218 NTB131218 OCX131218 OMT131218 OWP131218 PGL131218 PQH131218 QAD131218 QJZ131218 QTV131218 RDR131218 RNN131218 RXJ131218 SHF131218 SRB131218 TAX131218 TKT131218 TUP131218 UEL131218 UOH131218 UYD131218 VHZ131218 VRV131218 WBR131218 WLN131218 WVJ131218 B196754 IX196754 ST196754 ACP196754 AML196754 AWH196754 BGD196754 BPZ196754 BZV196754 CJR196754 CTN196754 DDJ196754 DNF196754 DXB196754 EGX196754 EQT196754 FAP196754 FKL196754 FUH196754 GED196754 GNZ196754 GXV196754 HHR196754 HRN196754 IBJ196754 ILF196754 IVB196754 JEX196754 JOT196754 JYP196754 KIL196754 KSH196754 LCD196754 LLZ196754 LVV196754 MFR196754 MPN196754 MZJ196754 NJF196754 NTB196754 OCX196754 OMT196754 OWP196754 PGL196754 PQH196754 QAD196754 QJZ196754 QTV196754 RDR196754 RNN196754 RXJ196754 SHF196754 SRB196754 TAX196754 TKT196754 TUP196754 UEL196754 UOH196754 UYD196754 VHZ196754 VRV196754 WBR196754 WLN196754 WVJ196754 B262290 IX262290 ST262290 ACP262290 AML262290 AWH262290 BGD262290 BPZ262290 BZV262290 CJR262290 CTN262290 DDJ262290 DNF262290 DXB262290 EGX262290 EQT262290 FAP262290 FKL262290 FUH262290 GED262290 GNZ262290 GXV262290 HHR262290 HRN262290 IBJ262290 ILF262290 IVB262290 JEX262290 JOT262290 JYP262290 KIL262290 KSH262290 LCD262290 LLZ262290 LVV262290 MFR262290 MPN262290 MZJ262290 NJF262290 NTB262290 OCX262290 OMT262290 OWP262290 PGL262290 PQH262290 QAD262290 QJZ262290 QTV262290 RDR262290 RNN262290 RXJ262290 SHF262290 SRB262290 TAX262290 TKT262290 TUP262290 UEL262290 UOH262290 UYD262290 VHZ262290 VRV262290 WBR262290 WLN262290 WVJ262290 B327826 IX327826 ST327826 ACP327826 AML327826 AWH327826 BGD327826 BPZ327826 BZV327826 CJR327826 CTN327826 DDJ327826 DNF327826 DXB327826 EGX327826 EQT327826 FAP327826 FKL327826 FUH327826 GED327826 GNZ327826 GXV327826 HHR327826 HRN327826 IBJ327826 ILF327826 IVB327826 JEX327826 JOT327826 JYP327826 KIL327826 KSH327826 LCD327826 LLZ327826 LVV327826 MFR327826 MPN327826 MZJ327826 NJF327826 NTB327826 OCX327826 OMT327826 OWP327826 PGL327826 PQH327826 QAD327826 QJZ327826 QTV327826 RDR327826 RNN327826 RXJ327826 SHF327826 SRB327826 TAX327826 TKT327826 TUP327826 UEL327826 UOH327826 UYD327826 VHZ327826 VRV327826 WBR327826 WLN327826 WVJ327826 B393362 IX393362 ST393362 ACP393362 AML393362 AWH393362 BGD393362 BPZ393362 BZV393362 CJR393362 CTN393362 DDJ393362 DNF393362 DXB393362 EGX393362 EQT393362 FAP393362 FKL393362 FUH393362 GED393362 GNZ393362 GXV393362 HHR393362 HRN393362 IBJ393362 ILF393362 IVB393362 JEX393362 JOT393362 JYP393362 KIL393362 KSH393362 LCD393362 LLZ393362 LVV393362 MFR393362 MPN393362 MZJ393362 NJF393362 NTB393362 OCX393362 OMT393362 OWP393362 PGL393362 PQH393362 QAD393362 QJZ393362 QTV393362 RDR393362 RNN393362 RXJ393362 SHF393362 SRB393362 TAX393362 TKT393362 TUP393362 UEL393362 UOH393362 UYD393362 VHZ393362 VRV393362 WBR393362 WLN393362 WVJ393362 B458898 IX458898 ST458898 ACP458898 AML458898 AWH458898 BGD458898 BPZ458898 BZV458898 CJR458898 CTN458898 DDJ458898 DNF458898 DXB458898 EGX458898 EQT458898 FAP458898 FKL458898 FUH458898 GED458898 GNZ458898 GXV458898 HHR458898 HRN458898 IBJ458898 ILF458898 IVB458898 JEX458898 JOT458898 JYP458898 KIL458898 KSH458898 LCD458898 LLZ458898 LVV458898 MFR458898 MPN458898 MZJ458898 NJF458898 NTB458898 OCX458898 OMT458898 OWP458898 PGL458898 PQH458898 QAD458898 QJZ458898 QTV458898 RDR458898 RNN458898 RXJ458898 SHF458898 SRB458898 TAX458898 TKT458898 TUP458898 UEL458898 UOH458898 UYD458898 VHZ458898 VRV458898 WBR458898 WLN458898 WVJ458898 B524434 IX524434 ST524434 ACP524434 AML524434 AWH524434 BGD524434 BPZ524434 BZV524434 CJR524434 CTN524434 DDJ524434 DNF524434 DXB524434 EGX524434 EQT524434 FAP524434 FKL524434 FUH524434 GED524434 GNZ524434 GXV524434 HHR524434 HRN524434 IBJ524434 ILF524434 IVB524434 JEX524434 JOT524434 JYP524434 KIL524434 KSH524434 LCD524434 LLZ524434 LVV524434 MFR524434 MPN524434 MZJ524434 NJF524434 NTB524434 OCX524434 OMT524434 OWP524434 PGL524434 PQH524434 QAD524434 QJZ524434 QTV524434 RDR524434 RNN524434 RXJ524434 SHF524434 SRB524434 TAX524434 TKT524434 TUP524434 UEL524434 UOH524434 UYD524434 VHZ524434 VRV524434 WBR524434 WLN524434 WVJ524434 B589970 IX589970 ST589970 ACP589970 AML589970 AWH589970 BGD589970 BPZ589970 BZV589970 CJR589970 CTN589970 DDJ589970 DNF589970 DXB589970 EGX589970 EQT589970 FAP589970 FKL589970 FUH589970 GED589970 GNZ589970 GXV589970 HHR589970 HRN589970 IBJ589970 ILF589970 IVB589970 JEX589970 JOT589970 JYP589970 KIL589970 KSH589970 LCD589970 LLZ589970 LVV589970 MFR589970 MPN589970 MZJ589970 NJF589970 NTB589970 OCX589970 OMT589970 OWP589970 PGL589970 PQH589970 QAD589970 QJZ589970 QTV589970 RDR589970 RNN589970 RXJ589970 SHF589970 SRB589970 TAX589970 TKT589970 TUP589970 UEL589970 UOH589970 UYD589970 VHZ589970 VRV589970 WBR589970 WLN589970 WVJ589970 B655506 IX655506 ST655506 ACP655506 AML655506 AWH655506 BGD655506 BPZ655506 BZV655506 CJR655506 CTN655506 DDJ655506 DNF655506 DXB655506 EGX655506 EQT655506 FAP655506 FKL655506 FUH655506 GED655506 GNZ655506 GXV655506 HHR655506 HRN655506 IBJ655506 ILF655506 IVB655506 JEX655506 JOT655506 JYP655506 KIL655506 KSH655506 LCD655506 LLZ655506 LVV655506 MFR655506 MPN655506 MZJ655506 NJF655506 NTB655506 OCX655506 OMT655506 OWP655506 PGL655506 PQH655506 QAD655506 QJZ655506 QTV655506 RDR655506 RNN655506 RXJ655506 SHF655506 SRB655506 TAX655506 TKT655506 TUP655506 UEL655506 UOH655506 UYD655506 VHZ655506 VRV655506 WBR655506 WLN655506 WVJ655506 B721042 IX721042 ST721042 ACP721042 AML721042 AWH721042 BGD721042 BPZ721042 BZV721042 CJR721042 CTN721042 DDJ721042 DNF721042 DXB721042 EGX721042 EQT721042 FAP721042 FKL721042 FUH721042 GED721042 GNZ721042 GXV721042 HHR721042 HRN721042 IBJ721042 ILF721042 IVB721042 JEX721042 JOT721042 JYP721042 KIL721042 KSH721042 LCD721042 LLZ721042 LVV721042 MFR721042 MPN721042 MZJ721042 NJF721042 NTB721042 OCX721042 OMT721042 OWP721042 PGL721042 PQH721042 QAD721042 QJZ721042 QTV721042 RDR721042 RNN721042 RXJ721042 SHF721042 SRB721042 TAX721042 TKT721042 TUP721042 UEL721042 UOH721042 UYD721042 VHZ721042 VRV721042 WBR721042 WLN721042 WVJ721042 B786578 IX786578 ST786578 ACP786578 AML786578 AWH786578 BGD786578 BPZ786578 BZV786578 CJR786578 CTN786578 DDJ786578 DNF786578 DXB786578 EGX786578 EQT786578 FAP786578 FKL786578 FUH786578 GED786578 GNZ786578 GXV786578 HHR786578 HRN786578 IBJ786578 ILF786578 IVB786578 JEX786578 JOT786578 JYP786578 KIL786578 KSH786578 LCD786578 LLZ786578 LVV786578 MFR786578 MPN786578 MZJ786578 NJF786578 NTB786578 OCX786578 OMT786578 OWP786578 PGL786578 PQH786578 QAD786578 QJZ786578 QTV786578 RDR786578 RNN786578 RXJ786578 SHF786578 SRB786578 TAX786578 TKT786578 TUP786578 UEL786578 UOH786578 UYD786578 VHZ786578 VRV786578 WBR786578 WLN786578 WVJ786578 B852114 IX852114 ST852114 ACP852114 AML852114 AWH852114 BGD852114 BPZ852114 BZV852114 CJR852114 CTN852114 DDJ852114 DNF852114 DXB852114 EGX852114 EQT852114 FAP852114 FKL852114 FUH852114 GED852114 GNZ852114 GXV852114 HHR852114 HRN852114 IBJ852114 ILF852114 IVB852114 JEX852114 JOT852114 JYP852114 KIL852114 KSH852114 LCD852114 LLZ852114 LVV852114 MFR852114 MPN852114 MZJ852114 NJF852114 NTB852114 OCX852114 OMT852114 OWP852114 PGL852114 PQH852114 QAD852114 QJZ852114 QTV852114 RDR852114 RNN852114 RXJ852114 SHF852114 SRB852114 TAX852114 TKT852114 TUP852114 UEL852114 UOH852114 UYD852114 VHZ852114 VRV852114 WBR852114 WLN852114 WVJ852114 B917650 IX917650 ST917650 ACP917650 AML917650 AWH917650 BGD917650 BPZ917650 BZV917650 CJR917650 CTN917650 DDJ917650 DNF917650 DXB917650 EGX917650 EQT917650 FAP917650 FKL917650 FUH917650 GED917650 GNZ917650 GXV917650 HHR917650 HRN917650 IBJ917650 ILF917650 IVB917650 JEX917650 JOT917650 JYP917650 KIL917650 KSH917650 LCD917650 LLZ917650 LVV917650 MFR917650 MPN917650 MZJ917650 NJF917650 NTB917650 OCX917650 OMT917650 OWP917650 PGL917650 PQH917650 QAD917650 QJZ917650 QTV917650 RDR917650 RNN917650 RXJ917650 SHF917650 SRB917650 TAX917650 TKT917650 TUP917650 UEL917650 UOH917650 UYD917650 VHZ917650 VRV917650 WBR917650 WLN917650 WVJ917650 B983186 IX983186 ST983186 ACP983186 AML983186 AWH983186 BGD983186 BPZ983186 BZV983186 CJR983186 CTN983186 DDJ983186 DNF983186 DXB983186 EGX983186 EQT983186 FAP983186 FKL983186 FUH983186 GED983186 GNZ983186 GXV983186 HHR983186 HRN983186 IBJ983186 ILF983186 IVB983186 JEX983186 JOT983186 JYP983186 KIL983186 KSH983186 LCD983186 LLZ983186 LVV983186 MFR983186 MPN983186 MZJ983186 NJF983186 NTB983186 OCX983186 OMT983186 OWP983186 PGL983186 PQH983186 QAD983186 QJZ983186 QTV983186 RDR983186 RNN983186 RXJ983186 SHF983186 SRB983186 TAX983186 TKT983186 TUP983186 UEL983186 UOH983186 UYD983186 VHZ983186 VRV983186 WBR983186 WLN983186 WVJ983186 B162 IX162 ST162 ACP162 AML162 AWH162 BGD162 BPZ162 BZV162 CJR162 CTN162 DDJ162 DNF162 DXB162 EGX162 EQT162 FAP162 FKL162 FUH162 GED162 GNZ162 GXV162 HHR162 HRN162 IBJ162 ILF162 IVB162 JEX162 JOT162 JYP162 KIL162 KSH162 LCD162 LLZ162 LVV162 MFR162 MPN162 MZJ162 NJF162 NTB162 OCX162 OMT162 OWP162 PGL162 PQH162 QAD162 QJZ162 QTV162 RDR162 RNN162 RXJ162 SHF162 SRB162 TAX162 TKT162 TUP162 UEL162 UOH162 UYD162 VHZ162 VRV162 WBR162 WLN162 WVJ162 B65698 IX65698 ST65698 ACP65698 AML65698 AWH65698 BGD65698 BPZ65698 BZV65698 CJR65698 CTN65698 DDJ65698 DNF65698 DXB65698 EGX65698 EQT65698 FAP65698 FKL65698 FUH65698 GED65698 GNZ65698 GXV65698 HHR65698 HRN65698 IBJ65698 ILF65698 IVB65698 JEX65698 JOT65698 JYP65698 KIL65698 KSH65698 LCD65698 LLZ65698 LVV65698 MFR65698 MPN65698 MZJ65698 NJF65698 NTB65698 OCX65698 OMT65698 OWP65698 PGL65698 PQH65698 QAD65698 QJZ65698 QTV65698 RDR65698 RNN65698 RXJ65698 SHF65698 SRB65698 TAX65698 TKT65698 TUP65698 UEL65698 UOH65698 UYD65698 VHZ65698 VRV65698 WBR65698 WLN65698 WVJ65698 B131234 IX131234 ST131234 ACP131234 AML131234 AWH131234 BGD131234 BPZ131234 BZV131234 CJR131234 CTN131234 DDJ131234 DNF131234 DXB131234 EGX131234 EQT131234 FAP131234 FKL131234 FUH131234 GED131234 GNZ131234 GXV131234 HHR131234 HRN131234 IBJ131234 ILF131234 IVB131234 JEX131234 JOT131234 JYP131234 KIL131234 KSH131234 LCD131234 LLZ131234 LVV131234 MFR131234 MPN131234 MZJ131234 NJF131234 NTB131234 OCX131234 OMT131234 OWP131234 PGL131234 PQH131234 QAD131234 QJZ131234 QTV131234 RDR131234 RNN131234 RXJ131234 SHF131234 SRB131234 TAX131234 TKT131234 TUP131234 UEL131234 UOH131234 UYD131234 VHZ131234 VRV131234 WBR131234 WLN131234 WVJ131234 B196770 IX196770 ST196770 ACP196770 AML196770 AWH196770 BGD196770 BPZ196770 BZV196770 CJR196770 CTN196770 DDJ196770 DNF196770 DXB196770 EGX196770 EQT196770 FAP196770 FKL196770 FUH196770 GED196770 GNZ196770 GXV196770 HHR196770 HRN196770 IBJ196770 ILF196770 IVB196770 JEX196770 JOT196770 JYP196770 KIL196770 KSH196770 LCD196770 LLZ196770 LVV196770 MFR196770 MPN196770 MZJ196770 NJF196770 NTB196770 OCX196770 OMT196770 OWP196770 PGL196770 PQH196770 QAD196770 QJZ196770 QTV196770 RDR196770 RNN196770 RXJ196770 SHF196770 SRB196770 TAX196770 TKT196770 TUP196770 UEL196770 UOH196770 UYD196770 VHZ196770 VRV196770 WBR196770 WLN196770 WVJ196770 B262306 IX262306 ST262306 ACP262306 AML262306 AWH262306 BGD262306 BPZ262306 BZV262306 CJR262306 CTN262306 DDJ262306 DNF262306 DXB262306 EGX262306 EQT262306 FAP262306 FKL262306 FUH262306 GED262306 GNZ262306 GXV262306 HHR262306 HRN262306 IBJ262306 ILF262306 IVB262306 JEX262306 JOT262306 JYP262306 KIL262306 KSH262306 LCD262306 LLZ262306 LVV262306 MFR262306 MPN262306 MZJ262306 NJF262306 NTB262306 OCX262306 OMT262306 OWP262306 PGL262306 PQH262306 QAD262306 QJZ262306 QTV262306 RDR262306 RNN262306 RXJ262306 SHF262306 SRB262306 TAX262306 TKT262306 TUP262306 UEL262306 UOH262306 UYD262306 VHZ262306 VRV262306 WBR262306 WLN262306 WVJ262306 B327842 IX327842 ST327842 ACP327842 AML327842 AWH327842 BGD327842 BPZ327842 BZV327842 CJR327842 CTN327842 DDJ327842 DNF327842 DXB327842 EGX327842 EQT327842 FAP327842 FKL327842 FUH327842 GED327842 GNZ327842 GXV327842 HHR327842 HRN327842 IBJ327842 ILF327842 IVB327842 JEX327842 JOT327842 JYP327842 KIL327842 KSH327842 LCD327842 LLZ327842 LVV327842 MFR327842 MPN327842 MZJ327842 NJF327842 NTB327842 OCX327842 OMT327842 OWP327842 PGL327842 PQH327842 QAD327842 QJZ327842 QTV327842 RDR327842 RNN327842 RXJ327842 SHF327842 SRB327842 TAX327842 TKT327842 TUP327842 UEL327842 UOH327842 UYD327842 VHZ327842 VRV327842 WBR327842 WLN327842 WVJ327842 B393378 IX393378 ST393378 ACP393378 AML393378 AWH393378 BGD393378 BPZ393378 BZV393378 CJR393378 CTN393378 DDJ393378 DNF393378 DXB393378 EGX393378 EQT393378 FAP393378 FKL393378 FUH393378 GED393378 GNZ393378 GXV393378 HHR393378 HRN393378 IBJ393378 ILF393378 IVB393378 JEX393378 JOT393378 JYP393378 KIL393378 KSH393378 LCD393378 LLZ393378 LVV393378 MFR393378 MPN393378 MZJ393378 NJF393378 NTB393378 OCX393378 OMT393378 OWP393378 PGL393378 PQH393378 QAD393378 QJZ393378 QTV393378 RDR393378 RNN393378 RXJ393378 SHF393378 SRB393378 TAX393378 TKT393378 TUP393378 UEL393378 UOH393378 UYD393378 VHZ393378 VRV393378 WBR393378 WLN393378 WVJ393378 B458914 IX458914 ST458914 ACP458914 AML458914 AWH458914 BGD458914 BPZ458914 BZV458914 CJR458914 CTN458914 DDJ458914 DNF458914 DXB458914 EGX458914 EQT458914 FAP458914 FKL458914 FUH458914 GED458914 GNZ458914 GXV458914 HHR458914 HRN458914 IBJ458914 ILF458914 IVB458914 JEX458914 JOT458914 JYP458914 KIL458914 KSH458914 LCD458914 LLZ458914 LVV458914 MFR458914 MPN458914 MZJ458914 NJF458914 NTB458914 OCX458914 OMT458914 OWP458914 PGL458914 PQH458914 QAD458914 QJZ458914 QTV458914 RDR458914 RNN458914 RXJ458914 SHF458914 SRB458914 TAX458914 TKT458914 TUP458914 UEL458914 UOH458914 UYD458914 VHZ458914 VRV458914 WBR458914 WLN458914 WVJ458914 B524450 IX524450 ST524450 ACP524450 AML524450 AWH524450 BGD524450 BPZ524450 BZV524450 CJR524450 CTN524450 DDJ524450 DNF524450 DXB524450 EGX524450 EQT524450 FAP524450 FKL524450 FUH524450 GED524450 GNZ524450 GXV524450 HHR524450 HRN524450 IBJ524450 ILF524450 IVB524450 JEX524450 JOT524450 JYP524450 KIL524450 KSH524450 LCD524450 LLZ524450 LVV524450 MFR524450 MPN524450 MZJ524450 NJF524450 NTB524450 OCX524450 OMT524450 OWP524450 PGL524450 PQH524450 QAD524450 QJZ524450 QTV524450 RDR524450 RNN524450 RXJ524450 SHF524450 SRB524450 TAX524450 TKT524450 TUP524450 UEL524450 UOH524450 UYD524450 VHZ524450 VRV524450 WBR524450 WLN524450 WVJ524450 B589986 IX589986 ST589986 ACP589986 AML589986 AWH589986 BGD589986 BPZ589986 BZV589986 CJR589986 CTN589986 DDJ589986 DNF589986 DXB589986 EGX589986 EQT589986 FAP589986 FKL589986 FUH589986 GED589986 GNZ589986 GXV589986 HHR589986 HRN589986 IBJ589986 ILF589986 IVB589986 JEX589986 JOT589986 JYP589986 KIL589986 KSH589986 LCD589986 LLZ589986 LVV589986 MFR589986 MPN589986 MZJ589986 NJF589986 NTB589986 OCX589986 OMT589986 OWP589986 PGL589986 PQH589986 QAD589986 QJZ589986 QTV589986 RDR589986 RNN589986 RXJ589986 SHF589986 SRB589986 TAX589986 TKT589986 TUP589986 UEL589986 UOH589986 UYD589986 VHZ589986 VRV589986 WBR589986 WLN589986 WVJ589986 B655522 IX655522 ST655522 ACP655522 AML655522 AWH655522 BGD655522 BPZ655522 BZV655522 CJR655522 CTN655522 DDJ655522 DNF655522 DXB655522 EGX655522 EQT655522 FAP655522 FKL655522 FUH655522 GED655522 GNZ655522 GXV655522 HHR655522 HRN655522 IBJ655522 ILF655522 IVB655522 JEX655522 JOT655522 JYP655522 KIL655522 KSH655522 LCD655522 LLZ655522 LVV655522 MFR655522 MPN655522 MZJ655522 NJF655522 NTB655522 OCX655522 OMT655522 OWP655522 PGL655522 PQH655522 QAD655522 QJZ655522 QTV655522 RDR655522 RNN655522 RXJ655522 SHF655522 SRB655522 TAX655522 TKT655522 TUP655522 UEL655522 UOH655522 UYD655522 VHZ655522 VRV655522 WBR655522 WLN655522 WVJ655522 B721058 IX721058 ST721058 ACP721058 AML721058 AWH721058 BGD721058 BPZ721058 BZV721058 CJR721058 CTN721058 DDJ721058 DNF721058 DXB721058 EGX721058 EQT721058 FAP721058 FKL721058 FUH721058 GED721058 GNZ721058 GXV721058 HHR721058 HRN721058 IBJ721058 ILF721058 IVB721058 JEX721058 JOT721058 JYP721058 KIL721058 KSH721058 LCD721058 LLZ721058 LVV721058 MFR721058 MPN721058 MZJ721058 NJF721058 NTB721058 OCX721058 OMT721058 OWP721058 PGL721058 PQH721058 QAD721058 QJZ721058 QTV721058 RDR721058 RNN721058 RXJ721058 SHF721058 SRB721058 TAX721058 TKT721058 TUP721058 UEL721058 UOH721058 UYD721058 VHZ721058 VRV721058 WBR721058 WLN721058 WVJ721058 B786594 IX786594 ST786594 ACP786594 AML786594 AWH786594 BGD786594 BPZ786594 BZV786594 CJR786594 CTN786594 DDJ786594 DNF786594 DXB786594 EGX786594 EQT786594 FAP786594 FKL786594 FUH786594 GED786594 GNZ786594 GXV786594 HHR786594 HRN786594 IBJ786594 ILF786594 IVB786594 JEX786594 JOT786594 JYP786594 KIL786594 KSH786594 LCD786594 LLZ786594 LVV786594 MFR786594 MPN786594 MZJ786594 NJF786594 NTB786594 OCX786594 OMT786594 OWP786594 PGL786594 PQH786594 QAD786594 QJZ786594 QTV786594 RDR786594 RNN786594 RXJ786594 SHF786594 SRB786594 TAX786594 TKT786594 TUP786594 UEL786594 UOH786594 UYD786594 VHZ786594 VRV786594 WBR786594 WLN786594 WVJ786594 B852130 IX852130 ST852130 ACP852130 AML852130 AWH852130 BGD852130 BPZ852130 BZV852130 CJR852130 CTN852130 DDJ852130 DNF852130 DXB852130 EGX852130 EQT852130 FAP852130 FKL852130 FUH852130 GED852130 GNZ852130 GXV852130 HHR852130 HRN852130 IBJ852130 ILF852130 IVB852130 JEX852130 JOT852130 JYP852130 KIL852130 KSH852130 LCD852130 LLZ852130 LVV852130 MFR852130 MPN852130 MZJ852130 NJF852130 NTB852130 OCX852130 OMT852130 OWP852130 PGL852130 PQH852130 QAD852130 QJZ852130 QTV852130 RDR852130 RNN852130 RXJ852130 SHF852130 SRB852130 TAX852130 TKT852130 TUP852130 UEL852130 UOH852130 UYD852130 VHZ852130 VRV852130 WBR852130 WLN852130 WVJ852130 B917666 IX917666 ST917666 ACP917666 AML917666 AWH917666 BGD917666 BPZ917666 BZV917666 CJR917666 CTN917666 DDJ917666 DNF917666 DXB917666 EGX917666 EQT917666 FAP917666 FKL917666 FUH917666 GED917666 GNZ917666 GXV917666 HHR917666 HRN917666 IBJ917666 ILF917666 IVB917666 JEX917666 JOT917666 JYP917666 KIL917666 KSH917666 LCD917666 LLZ917666 LVV917666 MFR917666 MPN917666 MZJ917666 NJF917666 NTB917666 OCX917666 OMT917666 OWP917666 PGL917666 PQH917666 QAD917666 QJZ917666 QTV917666 RDR917666 RNN917666 RXJ917666 SHF917666 SRB917666 TAX917666 TKT917666 TUP917666 UEL917666 UOH917666 UYD917666 VHZ917666 VRV917666 WBR917666 WLN917666 WVJ917666 B983202 IX983202 ST983202 ACP983202 AML983202 AWH983202 BGD983202 BPZ983202 BZV983202 CJR983202 CTN983202 DDJ983202 DNF983202 DXB983202 EGX983202 EQT983202 FAP983202 FKL983202 FUH983202 GED983202 GNZ983202 GXV983202 HHR983202 HRN983202 IBJ983202 ILF983202 IVB983202 JEX983202 JOT983202 JYP983202 KIL983202 KSH983202 LCD983202 LLZ983202 LVV983202 MFR983202 MPN983202 MZJ983202 NJF983202 NTB983202 OCX983202 OMT983202 OWP983202 PGL983202 PQH983202 QAD983202 QJZ983202 QTV983202 RDR983202 RNN983202 RXJ983202 SHF983202 SRB983202 TAX983202 TKT983202 TUP983202 UEL983202 UOH983202 UYD983202 VHZ983202 VRV983202 WBR983202 WLN983202 WVJ983202 B194 IX194 ST194 ACP194 AML194 AWH194 BGD194 BPZ194 BZV194 CJR194 CTN194 DDJ194 DNF194 DXB194 EGX194 EQT194 FAP194 FKL194 FUH194 GED194 GNZ194 GXV194 HHR194 HRN194 IBJ194 ILF194 IVB194 JEX194 JOT194 JYP194 KIL194 KSH194 LCD194 LLZ194 LVV194 MFR194 MPN194 MZJ194 NJF194 NTB194 OCX194 OMT194 OWP194 PGL194 PQH194 QAD194 QJZ194 QTV194 RDR194 RNN194 RXJ194 SHF194 SRB194 TAX194 TKT194 TUP194 UEL194 UOH194 UYD194 VHZ194 VRV194 WBR194 WLN194 WVJ194 B65730 IX65730 ST65730 ACP65730 AML65730 AWH65730 BGD65730 BPZ65730 BZV65730 CJR65730 CTN65730 DDJ65730 DNF65730 DXB65730 EGX65730 EQT65730 FAP65730 FKL65730 FUH65730 GED65730 GNZ65730 GXV65730 HHR65730 HRN65730 IBJ65730 ILF65730 IVB65730 JEX65730 JOT65730 JYP65730 KIL65730 KSH65730 LCD65730 LLZ65730 LVV65730 MFR65730 MPN65730 MZJ65730 NJF65730 NTB65730 OCX65730 OMT65730 OWP65730 PGL65730 PQH65730 QAD65730 QJZ65730 QTV65730 RDR65730 RNN65730 RXJ65730 SHF65730 SRB65730 TAX65730 TKT65730 TUP65730 UEL65730 UOH65730 UYD65730 VHZ65730 VRV65730 WBR65730 WLN65730 WVJ65730 B131266 IX131266 ST131266 ACP131266 AML131266 AWH131266 BGD131266 BPZ131266 BZV131266 CJR131266 CTN131266 DDJ131266 DNF131266 DXB131266 EGX131266 EQT131266 FAP131266 FKL131266 FUH131266 GED131266 GNZ131266 GXV131266 HHR131266 HRN131266 IBJ131266 ILF131266 IVB131266 JEX131266 JOT131266 JYP131266 KIL131266 KSH131266 LCD131266 LLZ131266 LVV131266 MFR131266 MPN131266 MZJ131266 NJF131266 NTB131266 OCX131266 OMT131266 OWP131266 PGL131266 PQH131266 QAD131266 QJZ131266 QTV131266 RDR131266 RNN131266 RXJ131266 SHF131266 SRB131266 TAX131266 TKT131266 TUP131266 UEL131266 UOH131266 UYD131266 VHZ131266 VRV131266 WBR131266 WLN131266 WVJ131266 B196802 IX196802 ST196802 ACP196802 AML196802 AWH196802 BGD196802 BPZ196802 BZV196802 CJR196802 CTN196802 DDJ196802 DNF196802 DXB196802 EGX196802 EQT196802 FAP196802 FKL196802 FUH196802 GED196802 GNZ196802 GXV196802 HHR196802 HRN196802 IBJ196802 ILF196802 IVB196802 JEX196802 JOT196802 JYP196802 KIL196802 KSH196802 LCD196802 LLZ196802 LVV196802 MFR196802 MPN196802 MZJ196802 NJF196802 NTB196802 OCX196802 OMT196802 OWP196802 PGL196802 PQH196802 QAD196802 QJZ196802 QTV196802 RDR196802 RNN196802 RXJ196802 SHF196802 SRB196802 TAX196802 TKT196802 TUP196802 UEL196802 UOH196802 UYD196802 VHZ196802 VRV196802 WBR196802 WLN196802 WVJ196802 B262338 IX262338 ST262338 ACP262338 AML262338 AWH262338 BGD262338 BPZ262338 BZV262338 CJR262338 CTN262338 DDJ262338 DNF262338 DXB262338 EGX262338 EQT262338 FAP262338 FKL262338 FUH262338 GED262338 GNZ262338 GXV262338 HHR262338 HRN262338 IBJ262338 ILF262338 IVB262338 JEX262338 JOT262338 JYP262338 KIL262338 KSH262338 LCD262338 LLZ262338 LVV262338 MFR262338 MPN262338 MZJ262338 NJF262338 NTB262338 OCX262338 OMT262338 OWP262338 PGL262338 PQH262338 QAD262338 QJZ262338 QTV262338 RDR262338 RNN262338 RXJ262338 SHF262338 SRB262338 TAX262338 TKT262338 TUP262338 UEL262338 UOH262338 UYD262338 VHZ262338 VRV262338 WBR262338 WLN262338 WVJ262338 B327874 IX327874 ST327874 ACP327874 AML327874 AWH327874 BGD327874 BPZ327874 BZV327874 CJR327874 CTN327874 DDJ327874 DNF327874 DXB327874 EGX327874 EQT327874 FAP327874 FKL327874 FUH327874 GED327874 GNZ327874 GXV327874 HHR327874 HRN327874 IBJ327874 ILF327874 IVB327874 JEX327874 JOT327874 JYP327874 KIL327874 KSH327874 LCD327874 LLZ327874 LVV327874 MFR327874 MPN327874 MZJ327874 NJF327874 NTB327874 OCX327874 OMT327874 OWP327874 PGL327874 PQH327874 QAD327874 QJZ327874 QTV327874 RDR327874 RNN327874 RXJ327874 SHF327874 SRB327874 TAX327874 TKT327874 TUP327874 UEL327874 UOH327874 UYD327874 VHZ327874 VRV327874 WBR327874 WLN327874 WVJ327874 B393410 IX393410 ST393410 ACP393410 AML393410 AWH393410 BGD393410 BPZ393410 BZV393410 CJR393410 CTN393410 DDJ393410 DNF393410 DXB393410 EGX393410 EQT393410 FAP393410 FKL393410 FUH393410 GED393410 GNZ393410 GXV393410 HHR393410 HRN393410 IBJ393410 ILF393410 IVB393410 JEX393410 JOT393410 JYP393410 KIL393410 KSH393410 LCD393410 LLZ393410 LVV393410 MFR393410 MPN393410 MZJ393410 NJF393410 NTB393410 OCX393410 OMT393410 OWP393410 PGL393410 PQH393410 QAD393410 QJZ393410 QTV393410 RDR393410 RNN393410 RXJ393410 SHF393410 SRB393410 TAX393410 TKT393410 TUP393410 UEL393410 UOH393410 UYD393410 VHZ393410 VRV393410 WBR393410 WLN393410 WVJ393410 B458946 IX458946 ST458946 ACP458946 AML458946 AWH458946 BGD458946 BPZ458946 BZV458946 CJR458946 CTN458946 DDJ458946 DNF458946 DXB458946 EGX458946 EQT458946 FAP458946 FKL458946 FUH458946 GED458946 GNZ458946 GXV458946 HHR458946 HRN458946 IBJ458946 ILF458946 IVB458946 JEX458946 JOT458946 JYP458946 KIL458946 KSH458946 LCD458946 LLZ458946 LVV458946 MFR458946 MPN458946 MZJ458946 NJF458946 NTB458946 OCX458946 OMT458946 OWP458946 PGL458946 PQH458946 QAD458946 QJZ458946 QTV458946 RDR458946 RNN458946 RXJ458946 SHF458946 SRB458946 TAX458946 TKT458946 TUP458946 UEL458946 UOH458946 UYD458946 VHZ458946 VRV458946 WBR458946 WLN458946 WVJ458946 B524482 IX524482 ST524482 ACP524482 AML524482 AWH524482 BGD524482 BPZ524482 BZV524482 CJR524482 CTN524482 DDJ524482 DNF524482 DXB524482 EGX524482 EQT524482 FAP524482 FKL524482 FUH524482 GED524482 GNZ524482 GXV524482 HHR524482 HRN524482 IBJ524482 ILF524482 IVB524482 JEX524482 JOT524482 JYP524482 KIL524482 KSH524482 LCD524482 LLZ524482 LVV524482 MFR524482 MPN524482 MZJ524482 NJF524482 NTB524482 OCX524482 OMT524482 OWP524482 PGL524482 PQH524482 QAD524482 QJZ524482 QTV524482 RDR524482 RNN524482 RXJ524482 SHF524482 SRB524482 TAX524482 TKT524482 TUP524482 UEL524482 UOH524482 UYD524482 VHZ524482 VRV524482 WBR524482 WLN524482 WVJ524482 B590018 IX590018 ST590018 ACP590018 AML590018 AWH590018 BGD590018 BPZ590018 BZV590018 CJR590018 CTN590018 DDJ590018 DNF590018 DXB590018 EGX590018 EQT590018 FAP590018 FKL590018 FUH590018 GED590018 GNZ590018 GXV590018 HHR590018 HRN590018 IBJ590018 ILF590018 IVB590018 JEX590018 JOT590018 JYP590018 KIL590018 KSH590018 LCD590018 LLZ590018 LVV590018 MFR590018 MPN590018 MZJ590018 NJF590018 NTB590018 OCX590018 OMT590018 OWP590018 PGL590018 PQH590018 QAD590018 QJZ590018 QTV590018 RDR590018 RNN590018 RXJ590018 SHF590018 SRB590018 TAX590018 TKT590018 TUP590018 UEL590018 UOH590018 UYD590018 VHZ590018 VRV590018 WBR590018 WLN590018 WVJ590018 B655554 IX655554 ST655554 ACP655554 AML655554 AWH655554 BGD655554 BPZ655554 BZV655554 CJR655554 CTN655554 DDJ655554 DNF655554 DXB655554 EGX655554 EQT655554 FAP655554 FKL655554 FUH655554 GED655554 GNZ655554 GXV655554 HHR655554 HRN655554 IBJ655554 ILF655554 IVB655554 JEX655554 JOT655554 JYP655554 KIL655554 KSH655554 LCD655554 LLZ655554 LVV655554 MFR655554 MPN655554 MZJ655554 NJF655554 NTB655554 OCX655554 OMT655554 OWP655554 PGL655554 PQH655554 QAD655554 QJZ655554 QTV655554 RDR655554 RNN655554 RXJ655554 SHF655554 SRB655554 TAX655554 TKT655554 TUP655554 UEL655554 UOH655554 UYD655554 VHZ655554 VRV655554 WBR655554 WLN655554 WVJ655554 B721090 IX721090 ST721090 ACP721090 AML721090 AWH721090 BGD721090 BPZ721090 BZV721090 CJR721090 CTN721090 DDJ721090 DNF721090 DXB721090 EGX721090 EQT721090 FAP721090 FKL721090 FUH721090 GED721090 GNZ721090 GXV721090 HHR721090 HRN721090 IBJ721090 ILF721090 IVB721090 JEX721090 JOT721090 JYP721090 KIL721090 KSH721090 LCD721090 LLZ721090 LVV721090 MFR721090 MPN721090 MZJ721090 NJF721090 NTB721090 OCX721090 OMT721090 OWP721090 PGL721090 PQH721090 QAD721090 QJZ721090 QTV721090 RDR721090 RNN721090 RXJ721090 SHF721090 SRB721090 TAX721090 TKT721090 TUP721090 UEL721090 UOH721090 UYD721090 VHZ721090 VRV721090 WBR721090 WLN721090 WVJ721090 B786626 IX786626 ST786626 ACP786626 AML786626 AWH786626 BGD786626 BPZ786626 BZV786626 CJR786626 CTN786626 DDJ786626 DNF786626 DXB786626 EGX786626 EQT786626 FAP786626 FKL786626 FUH786626 GED786626 GNZ786626 GXV786626 HHR786626 HRN786626 IBJ786626 ILF786626 IVB786626 JEX786626 JOT786626 JYP786626 KIL786626 KSH786626 LCD786626 LLZ786626 LVV786626 MFR786626 MPN786626 MZJ786626 NJF786626 NTB786626 OCX786626 OMT786626 OWP786626 PGL786626 PQH786626 QAD786626 QJZ786626 QTV786626 RDR786626 RNN786626 RXJ786626 SHF786626 SRB786626 TAX786626 TKT786626 TUP786626 UEL786626 UOH786626 UYD786626 VHZ786626 VRV786626 WBR786626 WLN786626 WVJ786626 B852162 IX852162 ST852162 ACP852162 AML852162 AWH852162 BGD852162 BPZ852162 BZV852162 CJR852162 CTN852162 DDJ852162 DNF852162 DXB852162 EGX852162 EQT852162 FAP852162 FKL852162 FUH852162 GED852162 GNZ852162 GXV852162 HHR852162 HRN852162 IBJ852162 ILF852162 IVB852162 JEX852162 JOT852162 JYP852162 KIL852162 KSH852162 LCD852162 LLZ852162 LVV852162 MFR852162 MPN852162 MZJ852162 NJF852162 NTB852162 OCX852162 OMT852162 OWP852162 PGL852162 PQH852162 QAD852162 QJZ852162 QTV852162 RDR852162 RNN852162 RXJ852162 SHF852162 SRB852162 TAX852162 TKT852162 TUP852162 UEL852162 UOH852162 UYD852162 VHZ852162 VRV852162 WBR852162 WLN852162 WVJ852162 B917698 IX917698 ST917698 ACP917698 AML917698 AWH917698 BGD917698 BPZ917698 BZV917698 CJR917698 CTN917698 DDJ917698 DNF917698 DXB917698 EGX917698 EQT917698 FAP917698 FKL917698 FUH917698 GED917698 GNZ917698 GXV917698 HHR917698 HRN917698 IBJ917698 ILF917698 IVB917698 JEX917698 JOT917698 JYP917698 KIL917698 KSH917698 LCD917698 LLZ917698 LVV917698 MFR917698 MPN917698 MZJ917698 NJF917698 NTB917698 OCX917698 OMT917698 OWP917698 PGL917698 PQH917698 QAD917698 QJZ917698 QTV917698 RDR917698 RNN917698 RXJ917698 SHF917698 SRB917698 TAX917698 TKT917698 TUP917698 UEL917698 UOH917698 UYD917698 VHZ917698 VRV917698 WBR917698 WLN917698 WVJ917698 B983234 IX983234 ST983234 ACP983234 AML983234 AWH983234 BGD983234 BPZ983234 BZV983234 CJR983234 CTN983234 DDJ983234 DNF983234 DXB983234 EGX983234 EQT983234 FAP983234 FKL983234 FUH983234 GED983234 GNZ983234 GXV983234 HHR983234 HRN983234 IBJ983234 ILF983234 IVB983234 JEX983234 JOT983234 JYP983234 KIL983234 KSH983234 LCD983234 LLZ983234 LVV983234 MFR983234 MPN983234 MZJ983234 NJF983234 NTB983234 OCX983234 OMT983234 OWP983234 PGL983234 PQH983234 QAD983234 QJZ983234 QTV983234 RDR983234 RNN983234 RXJ983234 SHF983234 SRB983234 TAX983234 TKT983234 TUP983234 UEL983234 UOH983234 UYD983234 VHZ983234 VRV983234 WBR983234 WLN983234 WVJ983234 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xm:sqref>
        </x14:dataValidation>
        <x14:dataValidation allowBlank="1" showInputMessage="1" prompt="Calendar month is automatically updated based on the month selected in cell C1" xr:uid="{03983762-D2B7-4DC3-8ACF-AA267E181F6B}">
          <xm:sqref>E178:E179 JA178:JA179 SW178:SW179 ACS178:ACS179 AMO178:AMO179 AWK178:AWK179 BGG178:BGG179 BQC178:BQC179 BZY178:BZY179 CJU178:CJU179 CTQ178:CTQ179 DDM178:DDM179 DNI178:DNI179 DXE178:DXE179 EHA178:EHA179 EQW178:EQW179 FAS178:FAS179 FKO178:FKO179 FUK178:FUK179 GEG178:GEG179 GOC178:GOC179 GXY178:GXY179 HHU178:HHU179 HRQ178:HRQ179 IBM178:IBM179 ILI178:ILI179 IVE178:IVE179 JFA178:JFA179 JOW178:JOW179 JYS178:JYS179 KIO178:KIO179 KSK178:KSK179 LCG178:LCG179 LMC178:LMC179 LVY178:LVY179 MFU178:MFU179 MPQ178:MPQ179 MZM178:MZM179 NJI178:NJI179 NTE178:NTE179 ODA178:ODA179 OMW178:OMW179 OWS178:OWS179 PGO178:PGO179 PQK178:PQK179 QAG178:QAG179 QKC178:QKC179 QTY178:QTY179 RDU178:RDU179 RNQ178:RNQ179 RXM178:RXM179 SHI178:SHI179 SRE178:SRE179 TBA178:TBA179 TKW178:TKW179 TUS178:TUS179 UEO178:UEO179 UOK178:UOK179 UYG178:UYG179 VIC178:VIC179 VRY178:VRY179 WBU178:WBU179 WLQ178:WLQ179 WVM178:WVM179 E65714:E65715 JA65714:JA65715 SW65714:SW65715 ACS65714:ACS65715 AMO65714:AMO65715 AWK65714:AWK65715 BGG65714:BGG65715 BQC65714:BQC65715 BZY65714:BZY65715 CJU65714:CJU65715 CTQ65714:CTQ65715 DDM65714:DDM65715 DNI65714:DNI65715 DXE65714:DXE65715 EHA65714:EHA65715 EQW65714:EQW65715 FAS65714:FAS65715 FKO65714:FKO65715 FUK65714:FUK65715 GEG65714:GEG65715 GOC65714:GOC65715 GXY65714:GXY65715 HHU65714:HHU65715 HRQ65714:HRQ65715 IBM65714:IBM65715 ILI65714:ILI65715 IVE65714:IVE65715 JFA65714:JFA65715 JOW65714:JOW65715 JYS65714:JYS65715 KIO65714:KIO65715 KSK65714:KSK65715 LCG65714:LCG65715 LMC65714:LMC65715 LVY65714:LVY65715 MFU65714:MFU65715 MPQ65714:MPQ65715 MZM65714:MZM65715 NJI65714:NJI65715 NTE65714:NTE65715 ODA65714:ODA65715 OMW65714:OMW65715 OWS65714:OWS65715 PGO65714:PGO65715 PQK65714:PQK65715 QAG65714:QAG65715 QKC65714:QKC65715 QTY65714:QTY65715 RDU65714:RDU65715 RNQ65714:RNQ65715 RXM65714:RXM65715 SHI65714:SHI65715 SRE65714:SRE65715 TBA65714:TBA65715 TKW65714:TKW65715 TUS65714:TUS65715 UEO65714:UEO65715 UOK65714:UOK65715 UYG65714:UYG65715 VIC65714:VIC65715 VRY65714:VRY65715 WBU65714:WBU65715 WLQ65714:WLQ65715 WVM65714:WVM65715 E131250:E131251 JA131250:JA131251 SW131250:SW131251 ACS131250:ACS131251 AMO131250:AMO131251 AWK131250:AWK131251 BGG131250:BGG131251 BQC131250:BQC131251 BZY131250:BZY131251 CJU131250:CJU131251 CTQ131250:CTQ131251 DDM131250:DDM131251 DNI131250:DNI131251 DXE131250:DXE131251 EHA131250:EHA131251 EQW131250:EQW131251 FAS131250:FAS131251 FKO131250:FKO131251 FUK131250:FUK131251 GEG131250:GEG131251 GOC131250:GOC131251 GXY131250:GXY131251 HHU131250:HHU131251 HRQ131250:HRQ131251 IBM131250:IBM131251 ILI131250:ILI131251 IVE131250:IVE131251 JFA131250:JFA131251 JOW131250:JOW131251 JYS131250:JYS131251 KIO131250:KIO131251 KSK131250:KSK131251 LCG131250:LCG131251 LMC131250:LMC131251 LVY131250:LVY131251 MFU131250:MFU131251 MPQ131250:MPQ131251 MZM131250:MZM131251 NJI131250:NJI131251 NTE131250:NTE131251 ODA131250:ODA131251 OMW131250:OMW131251 OWS131250:OWS131251 PGO131250:PGO131251 PQK131250:PQK131251 QAG131250:QAG131251 QKC131250:QKC131251 QTY131250:QTY131251 RDU131250:RDU131251 RNQ131250:RNQ131251 RXM131250:RXM131251 SHI131250:SHI131251 SRE131250:SRE131251 TBA131250:TBA131251 TKW131250:TKW131251 TUS131250:TUS131251 UEO131250:UEO131251 UOK131250:UOK131251 UYG131250:UYG131251 VIC131250:VIC131251 VRY131250:VRY131251 WBU131250:WBU131251 WLQ131250:WLQ131251 WVM131250:WVM131251 E196786:E196787 JA196786:JA196787 SW196786:SW196787 ACS196786:ACS196787 AMO196786:AMO196787 AWK196786:AWK196787 BGG196786:BGG196787 BQC196786:BQC196787 BZY196786:BZY196787 CJU196786:CJU196787 CTQ196786:CTQ196787 DDM196786:DDM196787 DNI196786:DNI196787 DXE196786:DXE196787 EHA196786:EHA196787 EQW196786:EQW196787 FAS196786:FAS196787 FKO196786:FKO196787 FUK196786:FUK196787 GEG196786:GEG196787 GOC196786:GOC196787 GXY196786:GXY196787 HHU196786:HHU196787 HRQ196786:HRQ196787 IBM196786:IBM196787 ILI196786:ILI196787 IVE196786:IVE196787 JFA196786:JFA196787 JOW196786:JOW196787 JYS196786:JYS196787 KIO196786:KIO196787 KSK196786:KSK196787 LCG196786:LCG196787 LMC196786:LMC196787 LVY196786:LVY196787 MFU196786:MFU196787 MPQ196786:MPQ196787 MZM196786:MZM196787 NJI196786:NJI196787 NTE196786:NTE196787 ODA196786:ODA196787 OMW196786:OMW196787 OWS196786:OWS196787 PGO196786:PGO196787 PQK196786:PQK196787 QAG196786:QAG196787 QKC196786:QKC196787 QTY196786:QTY196787 RDU196786:RDU196787 RNQ196786:RNQ196787 RXM196786:RXM196787 SHI196786:SHI196787 SRE196786:SRE196787 TBA196786:TBA196787 TKW196786:TKW196787 TUS196786:TUS196787 UEO196786:UEO196787 UOK196786:UOK196787 UYG196786:UYG196787 VIC196786:VIC196787 VRY196786:VRY196787 WBU196786:WBU196787 WLQ196786:WLQ196787 WVM196786:WVM196787 E262322:E262323 JA262322:JA262323 SW262322:SW262323 ACS262322:ACS262323 AMO262322:AMO262323 AWK262322:AWK262323 BGG262322:BGG262323 BQC262322:BQC262323 BZY262322:BZY262323 CJU262322:CJU262323 CTQ262322:CTQ262323 DDM262322:DDM262323 DNI262322:DNI262323 DXE262322:DXE262323 EHA262322:EHA262323 EQW262322:EQW262323 FAS262322:FAS262323 FKO262322:FKO262323 FUK262322:FUK262323 GEG262322:GEG262323 GOC262322:GOC262323 GXY262322:GXY262323 HHU262322:HHU262323 HRQ262322:HRQ262323 IBM262322:IBM262323 ILI262322:ILI262323 IVE262322:IVE262323 JFA262322:JFA262323 JOW262322:JOW262323 JYS262322:JYS262323 KIO262322:KIO262323 KSK262322:KSK262323 LCG262322:LCG262323 LMC262322:LMC262323 LVY262322:LVY262323 MFU262322:MFU262323 MPQ262322:MPQ262323 MZM262322:MZM262323 NJI262322:NJI262323 NTE262322:NTE262323 ODA262322:ODA262323 OMW262322:OMW262323 OWS262322:OWS262323 PGO262322:PGO262323 PQK262322:PQK262323 QAG262322:QAG262323 QKC262322:QKC262323 QTY262322:QTY262323 RDU262322:RDU262323 RNQ262322:RNQ262323 RXM262322:RXM262323 SHI262322:SHI262323 SRE262322:SRE262323 TBA262322:TBA262323 TKW262322:TKW262323 TUS262322:TUS262323 UEO262322:UEO262323 UOK262322:UOK262323 UYG262322:UYG262323 VIC262322:VIC262323 VRY262322:VRY262323 WBU262322:WBU262323 WLQ262322:WLQ262323 WVM262322:WVM262323 E327858:E327859 JA327858:JA327859 SW327858:SW327859 ACS327858:ACS327859 AMO327858:AMO327859 AWK327858:AWK327859 BGG327858:BGG327859 BQC327858:BQC327859 BZY327858:BZY327859 CJU327858:CJU327859 CTQ327858:CTQ327859 DDM327858:DDM327859 DNI327858:DNI327859 DXE327858:DXE327859 EHA327858:EHA327859 EQW327858:EQW327859 FAS327858:FAS327859 FKO327858:FKO327859 FUK327858:FUK327859 GEG327858:GEG327859 GOC327858:GOC327859 GXY327858:GXY327859 HHU327858:HHU327859 HRQ327858:HRQ327859 IBM327858:IBM327859 ILI327858:ILI327859 IVE327858:IVE327859 JFA327858:JFA327859 JOW327858:JOW327859 JYS327858:JYS327859 KIO327858:KIO327859 KSK327858:KSK327859 LCG327858:LCG327859 LMC327858:LMC327859 LVY327858:LVY327859 MFU327858:MFU327859 MPQ327858:MPQ327859 MZM327858:MZM327859 NJI327858:NJI327859 NTE327858:NTE327859 ODA327858:ODA327859 OMW327858:OMW327859 OWS327858:OWS327859 PGO327858:PGO327859 PQK327858:PQK327859 QAG327858:QAG327859 QKC327858:QKC327859 QTY327858:QTY327859 RDU327858:RDU327859 RNQ327858:RNQ327859 RXM327858:RXM327859 SHI327858:SHI327859 SRE327858:SRE327859 TBA327858:TBA327859 TKW327858:TKW327859 TUS327858:TUS327859 UEO327858:UEO327859 UOK327858:UOK327859 UYG327858:UYG327859 VIC327858:VIC327859 VRY327858:VRY327859 WBU327858:WBU327859 WLQ327858:WLQ327859 WVM327858:WVM327859 E393394:E393395 JA393394:JA393395 SW393394:SW393395 ACS393394:ACS393395 AMO393394:AMO393395 AWK393394:AWK393395 BGG393394:BGG393395 BQC393394:BQC393395 BZY393394:BZY393395 CJU393394:CJU393395 CTQ393394:CTQ393395 DDM393394:DDM393395 DNI393394:DNI393395 DXE393394:DXE393395 EHA393394:EHA393395 EQW393394:EQW393395 FAS393394:FAS393395 FKO393394:FKO393395 FUK393394:FUK393395 GEG393394:GEG393395 GOC393394:GOC393395 GXY393394:GXY393395 HHU393394:HHU393395 HRQ393394:HRQ393395 IBM393394:IBM393395 ILI393394:ILI393395 IVE393394:IVE393395 JFA393394:JFA393395 JOW393394:JOW393395 JYS393394:JYS393395 KIO393394:KIO393395 KSK393394:KSK393395 LCG393394:LCG393395 LMC393394:LMC393395 LVY393394:LVY393395 MFU393394:MFU393395 MPQ393394:MPQ393395 MZM393394:MZM393395 NJI393394:NJI393395 NTE393394:NTE393395 ODA393394:ODA393395 OMW393394:OMW393395 OWS393394:OWS393395 PGO393394:PGO393395 PQK393394:PQK393395 QAG393394:QAG393395 QKC393394:QKC393395 QTY393394:QTY393395 RDU393394:RDU393395 RNQ393394:RNQ393395 RXM393394:RXM393395 SHI393394:SHI393395 SRE393394:SRE393395 TBA393394:TBA393395 TKW393394:TKW393395 TUS393394:TUS393395 UEO393394:UEO393395 UOK393394:UOK393395 UYG393394:UYG393395 VIC393394:VIC393395 VRY393394:VRY393395 WBU393394:WBU393395 WLQ393394:WLQ393395 WVM393394:WVM393395 E458930:E458931 JA458930:JA458931 SW458930:SW458931 ACS458930:ACS458931 AMO458930:AMO458931 AWK458930:AWK458931 BGG458930:BGG458931 BQC458930:BQC458931 BZY458930:BZY458931 CJU458930:CJU458931 CTQ458930:CTQ458931 DDM458930:DDM458931 DNI458930:DNI458931 DXE458930:DXE458931 EHA458930:EHA458931 EQW458930:EQW458931 FAS458930:FAS458931 FKO458930:FKO458931 FUK458930:FUK458931 GEG458930:GEG458931 GOC458930:GOC458931 GXY458930:GXY458931 HHU458930:HHU458931 HRQ458930:HRQ458931 IBM458930:IBM458931 ILI458930:ILI458931 IVE458930:IVE458931 JFA458930:JFA458931 JOW458930:JOW458931 JYS458930:JYS458931 KIO458930:KIO458931 KSK458930:KSK458931 LCG458930:LCG458931 LMC458930:LMC458931 LVY458930:LVY458931 MFU458930:MFU458931 MPQ458930:MPQ458931 MZM458930:MZM458931 NJI458930:NJI458931 NTE458930:NTE458931 ODA458930:ODA458931 OMW458930:OMW458931 OWS458930:OWS458931 PGO458930:PGO458931 PQK458930:PQK458931 QAG458930:QAG458931 QKC458930:QKC458931 QTY458930:QTY458931 RDU458930:RDU458931 RNQ458930:RNQ458931 RXM458930:RXM458931 SHI458930:SHI458931 SRE458930:SRE458931 TBA458930:TBA458931 TKW458930:TKW458931 TUS458930:TUS458931 UEO458930:UEO458931 UOK458930:UOK458931 UYG458930:UYG458931 VIC458930:VIC458931 VRY458930:VRY458931 WBU458930:WBU458931 WLQ458930:WLQ458931 WVM458930:WVM458931 E524466:E524467 JA524466:JA524467 SW524466:SW524467 ACS524466:ACS524467 AMO524466:AMO524467 AWK524466:AWK524467 BGG524466:BGG524467 BQC524466:BQC524467 BZY524466:BZY524467 CJU524466:CJU524467 CTQ524466:CTQ524467 DDM524466:DDM524467 DNI524466:DNI524467 DXE524466:DXE524467 EHA524466:EHA524467 EQW524466:EQW524467 FAS524466:FAS524467 FKO524466:FKO524467 FUK524466:FUK524467 GEG524466:GEG524467 GOC524466:GOC524467 GXY524466:GXY524467 HHU524466:HHU524467 HRQ524466:HRQ524467 IBM524466:IBM524467 ILI524466:ILI524467 IVE524466:IVE524467 JFA524466:JFA524467 JOW524466:JOW524467 JYS524466:JYS524467 KIO524466:KIO524467 KSK524466:KSK524467 LCG524466:LCG524467 LMC524466:LMC524467 LVY524466:LVY524467 MFU524466:MFU524467 MPQ524466:MPQ524467 MZM524466:MZM524467 NJI524466:NJI524467 NTE524466:NTE524467 ODA524466:ODA524467 OMW524466:OMW524467 OWS524466:OWS524467 PGO524466:PGO524467 PQK524466:PQK524467 QAG524466:QAG524467 QKC524466:QKC524467 QTY524466:QTY524467 RDU524466:RDU524467 RNQ524466:RNQ524467 RXM524466:RXM524467 SHI524466:SHI524467 SRE524466:SRE524467 TBA524466:TBA524467 TKW524466:TKW524467 TUS524466:TUS524467 UEO524466:UEO524467 UOK524466:UOK524467 UYG524466:UYG524467 VIC524466:VIC524467 VRY524466:VRY524467 WBU524466:WBU524467 WLQ524466:WLQ524467 WVM524466:WVM524467 E590002:E590003 JA590002:JA590003 SW590002:SW590003 ACS590002:ACS590003 AMO590002:AMO590003 AWK590002:AWK590003 BGG590002:BGG590003 BQC590002:BQC590003 BZY590002:BZY590003 CJU590002:CJU590003 CTQ590002:CTQ590003 DDM590002:DDM590003 DNI590002:DNI590003 DXE590002:DXE590003 EHA590002:EHA590003 EQW590002:EQW590003 FAS590002:FAS590003 FKO590002:FKO590003 FUK590002:FUK590003 GEG590002:GEG590003 GOC590002:GOC590003 GXY590002:GXY590003 HHU590002:HHU590003 HRQ590002:HRQ590003 IBM590002:IBM590003 ILI590002:ILI590003 IVE590002:IVE590003 JFA590002:JFA590003 JOW590002:JOW590003 JYS590002:JYS590003 KIO590002:KIO590003 KSK590002:KSK590003 LCG590002:LCG590003 LMC590002:LMC590003 LVY590002:LVY590003 MFU590002:MFU590003 MPQ590002:MPQ590003 MZM590002:MZM590003 NJI590002:NJI590003 NTE590002:NTE590003 ODA590002:ODA590003 OMW590002:OMW590003 OWS590002:OWS590003 PGO590002:PGO590003 PQK590002:PQK590003 QAG590002:QAG590003 QKC590002:QKC590003 QTY590002:QTY590003 RDU590002:RDU590003 RNQ590002:RNQ590003 RXM590002:RXM590003 SHI590002:SHI590003 SRE590002:SRE590003 TBA590002:TBA590003 TKW590002:TKW590003 TUS590002:TUS590003 UEO590002:UEO590003 UOK590002:UOK590003 UYG590002:UYG590003 VIC590002:VIC590003 VRY590002:VRY590003 WBU590002:WBU590003 WLQ590002:WLQ590003 WVM590002:WVM590003 E655538:E655539 JA655538:JA655539 SW655538:SW655539 ACS655538:ACS655539 AMO655538:AMO655539 AWK655538:AWK655539 BGG655538:BGG655539 BQC655538:BQC655539 BZY655538:BZY655539 CJU655538:CJU655539 CTQ655538:CTQ655539 DDM655538:DDM655539 DNI655538:DNI655539 DXE655538:DXE655539 EHA655538:EHA655539 EQW655538:EQW655539 FAS655538:FAS655539 FKO655538:FKO655539 FUK655538:FUK655539 GEG655538:GEG655539 GOC655538:GOC655539 GXY655538:GXY655539 HHU655538:HHU655539 HRQ655538:HRQ655539 IBM655538:IBM655539 ILI655538:ILI655539 IVE655538:IVE655539 JFA655538:JFA655539 JOW655538:JOW655539 JYS655538:JYS655539 KIO655538:KIO655539 KSK655538:KSK655539 LCG655538:LCG655539 LMC655538:LMC655539 LVY655538:LVY655539 MFU655538:MFU655539 MPQ655538:MPQ655539 MZM655538:MZM655539 NJI655538:NJI655539 NTE655538:NTE655539 ODA655538:ODA655539 OMW655538:OMW655539 OWS655538:OWS655539 PGO655538:PGO655539 PQK655538:PQK655539 QAG655538:QAG655539 QKC655538:QKC655539 QTY655538:QTY655539 RDU655538:RDU655539 RNQ655538:RNQ655539 RXM655538:RXM655539 SHI655538:SHI655539 SRE655538:SRE655539 TBA655538:TBA655539 TKW655538:TKW655539 TUS655538:TUS655539 UEO655538:UEO655539 UOK655538:UOK655539 UYG655538:UYG655539 VIC655538:VIC655539 VRY655538:VRY655539 WBU655538:WBU655539 WLQ655538:WLQ655539 WVM655538:WVM655539 E721074:E721075 JA721074:JA721075 SW721074:SW721075 ACS721074:ACS721075 AMO721074:AMO721075 AWK721074:AWK721075 BGG721074:BGG721075 BQC721074:BQC721075 BZY721074:BZY721075 CJU721074:CJU721075 CTQ721074:CTQ721075 DDM721074:DDM721075 DNI721074:DNI721075 DXE721074:DXE721075 EHA721074:EHA721075 EQW721074:EQW721075 FAS721074:FAS721075 FKO721074:FKO721075 FUK721074:FUK721075 GEG721074:GEG721075 GOC721074:GOC721075 GXY721074:GXY721075 HHU721074:HHU721075 HRQ721074:HRQ721075 IBM721074:IBM721075 ILI721074:ILI721075 IVE721074:IVE721075 JFA721074:JFA721075 JOW721074:JOW721075 JYS721074:JYS721075 KIO721074:KIO721075 KSK721074:KSK721075 LCG721074:LCG721075 LMC721074:LMC721075 LVY721074:LVY721075 MFU721074:MFU721075 MPQ721074:MPQ721075 MZM721074:MZM721075 NJI721074:NJI721075 NTE721074:NTE721075 ODA721074:ODA721075 OMW721074:OMW721075 OWS721074:OWS721075 PGO721074:PGO721075 PQK721074:PQK721075 QAG721074:QAG721075 QKC721074:QKC721075 QTY721074:QTY721075 RDU721074:RDU721075 RNQ721074:RNQ721075 RXM721074:RXM721075 SHI721074:SHI721075 SRE721074:SRE721075 TBA721074:TBA721075 TKW721074:TKW721075 TUS721074:TUS721075 UEO721074:UEO721075 UOK721074:UOK721075 UYG721074:UYG721075 VIC721074:VIC721075 VRY721074:VRY721075 WBU721074:WBU721075 WLQ721074:WLQ721075 WVM721074:WVM721075 E786610:E786611 JA786610:JA786611 SW786610:SW786611 ACS786610:ACS786611 AMO786610:AMO786611 AWK786610:AWK786611 BGG786610:BGG786611 BQC786610:BQC786611 BZY786610:BZY786611 CJU786610:CJU786611 CTQ786610:CTQ786611 DDM786610:DDM786611 DNI786610:DNI786611 DXE786610:DXE786611 EHA786610:EHA786611 EQW786610:EQW786611 FAS786610:FAS786611 FKO786610:FKO786611 FUK786610:FUK786611 GEG786610:GEG786611 GOC786610:GOC786611 GXY786610:GXY786611 HHU786610:HHU786611 HRQ786610:HRQ786611 IBM786610:IBM786611 ILI786610:ILI786611 IVE786610:IVE786611 JFA786610:JFA786611 JOW786610:JOW786611 JYS786610:JYS786611 KIO786610:KIO786611 KSK786610:KSK786611 LCG786610:LCG786611 LMC786610:LMC786611 LVY786610:LVY786611 MFU786610:MFU786611 MPQ786610:MPQ786611 MZM786610:MZM786611 NJI786610:NJI786611 NTE786610:NTE786611 ODA786610:ODA786611 OMW786610:OMW786611 OWS786610:OWS786611 PGO786610:PGO786611 PQK786610:PQK786611 QAG786610:QAG786611 QKC786610:QKC786611 QTY786610:QTY786611 RDU786610:RDU786611 RNQ786610:RNQ786611 RXM786610:RXM786611 SHI786610:SHI786611 SRE786610:SRE786611 TBA786610:TBA786611 TKW786610:TKW786611 TUS786610:TUS786611 UEO786610:UEO786611 UOK786610:UOK786611 UYG786610:UYG786611 VIC786610:VIC786611 VRY786610:VRY786611 WBU786610:WBU786611 WLQ786610:WLQ786611 WVM786610:WVM786611 E852146:E852147 JA852146:JA852147 SW852146:SW852147 ACS852146:ACS852147 AMO852146:AMO852147 AWK852146:AWK852147 BGG852146:BGG852147 BQC852146:BQC852147 BZY852146:BZY852147 CJU852146:CJU852147 CTQ852146:CTQ852147 DDM852146:DDM852147 DNI852146:DNI852147 DXE852146:DXE852147 EHA852146:EHA852147 EQW852146:EQW852147 FAS852146:FAS852147 FKO852146:FKO852147 FUK852146:FUK852147 GEG852146:GEG852147 GOC852146:GOC852147 GXY852146:GXY852147 HHU852146:HHU852147 HRQ852146:HRQ852147 IBM852146:IBM852147 ILI852146:ILI852147 IVE852146:IVE852147 JFA852146:JFA852147 JOW852146:JOW852147 JYS852146:JYS852147 KIO852146:KIO852147 KSK852146:KSK852147 LCG852146:LCG852147 LMC852146:LMC852147 LVY852146:LVY852147 MFU852146:MFU852147 MPQ852146:MPQ852147 MZM852146:MZM852147 NJI852146:NJI852147 NTE852146:NTE852147 ODA852146:ODA852147 OMW852146:OMW852147 OWS852146:OWS852147 PGO852146:PGO852147 PQK852146:PQK852147 QAG852146:QAG852147 QKC852146:QKC852147 QTY852146:QTY852147 RDU852146:RDU852147 RNQ852146:RNQ852147 RXM852146:RXM852147 SHI852146:SHI852147 SRE852146:SRE852147 TBA852146:TBA852147 TKW852146:TKW852147 TUS852146:TUS852147 UEO852146:UEO852147 UOK852146:UOK852147 UYG852146:UYG852147 VIC852146:VIC852147 VRY852146:VRY852147 WBU852146:WBU852147 WLQ852146:WLQ852147 WVM852146:WVM852147 E917682:E917683 JA917682:JA917683 SW917682:SW917683 ACS917682:ACS917683 AMO917682:AMO917683 AWK917682:AWK917683 BGG917682:BGG917683 BQC917682:BQC917683 BZY917682:BZY917683 CJU917682:CJU917683 CTQ917682:CTQ917683 DDM917682:DDM917683 DNI917682:DNI917683 DXE917682:DXE917683 EHA917682:EHA917683 EQW917682:EQW917683 FAS917682:FAS917683 FKO917682:FKO917683 FUK917682:FUK917683 GEG917682:GEG917683 GOC917682:GOC917683 GXY917682:GXY917683 HHU917682:HHU917683 HRQ917682:HRQ917683 IBM917682:IBM917683 ILI917682:ILI917683 IVE917682:IVE917683 JFA917682:JFA917683 JOW917682:JOW917683 JYS917682:JYS917683 KIO917682:KIO917683 KSK917682:KSK917683 LCG917682:LCG917683 LMC917682:LMC917683 LVY917682:LVY917683 MFU917682:MFU917683 MPQ917682:MPQ917683 MZM917682:MZM917683 NJI917682:NJI917683 NTE917682:NTE917683 ODA917682:ODA917683 OMW917682:OMW917683 OWS917682:OWS917683 PGO917682:PGO917683 PQK917682:PQK917683 QAG917682:QAG917683 QKC917682:QKC917683 QTY917682:QTY917683 RDU917682:RDU917683 RNQ917682:RNQ917683 RXM917682:RXM917683 SHI917682:SHI917683 SRE917682:SRE917683 TBA917682:TBA917683 TKW917682:TKW917683 TUS917682:TUS917683 UEO917682:UEO917683 UOK917682:UOK917683 UYG917682:UYG917683 VIC917682:VIC917683 VRY917682:VRY917683 WBU917682:WBU917683 WLQ917682:WLQ917683 WVM917682:WVM917683 E983218:E983219 JA983218:JA983219 SW983218:SW983219 ACS983218:ACS983219 AMO983218:AMO983219 AWK983218:AWK983219 BGG983218:BGG983219 BQC983218:BQC983219 BZY983218:BZY983219 CJU983218:CJU983219 CTQ983218:CTQ983219 DDM983218:DDM983219 DNI983218:DNI983219 DXE983218:DXE983219 EHA983218:EHA983219 EQW983218:EQW983219 FAS983218:FAS983219 FKO983218:FKO983219 FUK983218:FUK983219 GEG983218:GEG983219 GOC983218:GOC983219 GXY983218:GXY983219 HHU983218:HHU983219 HRQ983218:HRQ983219 IBM983218:IBM983219 ILI983218:ILI983219 IVE983218:IVE983219 JFA983218:JFA983219 JOW983218:JOW983219 JYS983218:JYS983219 KIO983218:KIO983219 KSK983218:KSK983219 LCG983218:LCG983219 LMC983218:LMC983219 LVY983218:LVY983219 MFU983218:MFU983219 MPQ983218:MPQ983219 MZM983218:MZM983219 NJI983218:NJI983219 NTE983218:NTE983219 ODA983218:ODA983219 OMW983218:OMW983219 OWS983218:OWS983219 PGO983218:PGO983219 PQK983218:PQK983219 QAG983218:QAG983219 QKC983218:QKC983219 QTY983218:QTY983219 RDU983218:RDU983219 RNQ983218:RNQ983219 RXM983218:RXM983219 SHI983218:SHI983219 SRE983218:SRE983219 TBA983218:TBA983219 TKW983218:TKW983219 TUS983218:TUS983219 UEO983218:UEO983219 UOK983218:UOK983219 UYG983218:UYG983219 VIC983218:VIC983219 VRY983218:VRY983219 WBU983218:WBU983219 WLQ983218:WLQ983219 WVM983218:WVM983219 C19:D19 IY19:IZ19 SU19:SV19 ACQ19:ACR19 AMM19:AMN19 AWI19:AWJ19 BGE19:BGF19 BQA19:BQB19 BZW19:BZX19 CJS19:CJT19 CTO19:CTP19 DDK19:DDL19 DNG19:DNH19 DXC19:DXD19 EGY19:EGZ19 EQU19:EQV19 FAQ19:FAR19 FKM19:FKN19 FUI19:FUJ19 GEE19:GEF19 GOA19:GOB19 GXW19:GXX19 HHS19:HHT19 HRO19:HRP19 IBK19:IBL19 ILG19:ILH19 IVC19:IVD19 JEY19:JEZ19 JOU19:JOV19 JYQ19:JYR19 KIM19:KIN19 KSI19:KSJ19 LCE19:LCF19 LMA19:LMB19 LVW19:LVX19 MFS19:MFT19 MPO19:MPP19 MZK19:MZL19 NJG19:NJH19 NTC19:NTD19 OCY19:OCZ19 OMU19:OMV19 OWQ19:OWR19 PGM19:PGN19 PQI19:PQJ19 QAE19:QAF19 QKA19:QKB19 QTW19:QTX19 RDS19:RDT19 RNO19:RNP19 RXK19:RXL19 SHG19:SHH19 SRC19:SRD19 TAY19:TAZ19 TKU19:TKV19 TUQ19:TUR19 UEM19:UEN19 UOI19:UOJ19 UYE19:UYF19 VIA19:VIB19 VRW19:VRX19 WBS19:WBT19 WLO19:WLP19 WVK19:WVL19 C65555:D65555 IY65555:IZ65555 SU65555:SV65555 ACQ65555:ACR65555 AMM65555:AMN65555 AWI65555:AWJ65555 BGE65555:BGF65555 BQA65555:BQB65555 BZW65555:BZX65555 CJS65555:CJT65555 CTO65555:CTP65555 DDK65555:DDL65555 DNG65555:DNH65555 DXC65555:DXD65555 EGY65555:EGZ65555 EQU65555:EQV65555 FAQ65555:FAR65555 FKM65555:FKN65555 FUI65555:FUJ65555 GEE65555:GEF65555 GOA65555:GOB65555 GXW65555:GXX65555 HHS65555:HHT65555 HRO65555:HRP65555 IBK65555:IBL65555 ILG65555:ILH65555 IVC65555:IVD65555 JEY65555:JEZ65555 JOU65555:JOV65555 JYQ65555:JYR65555 KIM65555:KIN65555 KSI65555:KSJ65555 LCE65555:LCF65555 LMA65555:LMB65555 LVW65555:LVX65555 MFS65555:MFT65555 MPO65555:MPP65555 MZK65555:MZL65555 NJG65555:NJH65555 NTC65555:NTD65555 OCY65555:OCZ65555 OMU65555:OMV65555 OWQ65555:OWR65555 PGM65555:PGN65555 PQI65555:PQJ65555 QAE65555:QAF65555 QKA65555:QKB65555 QTW65555:QTX65555 RDS65555:RDT65555 RNO65555:RNP65555 RXK65555:RXL65555 SHG65555:SHH65555 SRC65555:SRD65555 TAY65555:TAZ65555 TKU65555:TKV65555 TUQ65555:TUR65555 UEM65555:UEN65555 UOI65555:UOJ65555 UYE65555:UYF65555 VIA65555:VIB65555 VRW65555:VRX65555 WBS65555:WBT65555 WLO65555:WLP65555 WVK65555:WVL65555 C131091:D131091 IY131091:IZ131091 SU131091:SV131091 ACQ131091:ACR131091 AMM131091:AMN131091 AWI131091:AWJ131091 BGE131091:BGF131091 BQA131091:BQB131091 BZW131091:BZX131091 CJS131091:CJT131091 CTO131091:CTP131091 DDK131091:DDL131091 DNG131091:DNH131091 DXC131091:DXD131091 EGY131091:EGZ131091 EQU131091:EQV131091 FAQ131091:FAR131091 FKM131091:FKN131091 FUI131091:FUJ131091 GEE131091:GEF131091 GOA131091:GOB131091 GXW131091:GXX131091 HHS131091:HHT131091 HRO131091:HRP131091 IBK131091:IBL131091 ILG131091:ILH131091 IVC131091:IVD131091 JEY131091:JEZ131091 JOU131091:JOV131091 JYQ131091:JYR131091 KIM131091:KIN131091 KSI131091:KSJ131091 LCE131091:LCF131091 LMA131091:LMB131091 LVW131091:LVX131091 MFS131091:MFT131091 MPO131091:MPP131091 MZK131091:MZL131091 NJG131091:NJH131091 NTC131091:NTD131091 OCY131091:OCZ131091 OMU131091:OMV131091 OWQ131091:OWR131091 PGM131091:PGN131091 PQI131091:PQJ131091 QAE131091:QAF131091 QKA131091:QKB131091 QTW131091:QTX131091 RDS131091:RDT131091 RNO131091:RNP131091 RXK131091:RXL131091 SHG131091:SHH131091 SRC131091:SRD131091 TAY131091:TAZ131091 TKU131091:TKV131091 TUQ131091:TUR131091 UEM131091:UEN131091 UOI131091:UOJ131091 UYE131091:UYF131091 VIA131091:VIB131091 VRW131091:VRX131091 WBS131091:WBT131091 WLO131091:WLP131091 WVK131091:WVL131091 C196627:D196627 IY196627:IZ196627 SU196627:SV196627 ACQ196627:ACR196627 AMM196627:AMN196627 AWI196627:AWJ196627 BGE196627:BGF196627 BQA196627:BQB196627 BZW196627:BZX196627 CJS196627:CJT196627 CTO196627:CTP196627 DDK196627:DDL196627 DNG196627:DNH196627 DXC196627:DXD196627 EGY196627:EGZ196627 EQU196627:EQV196627 FAQ196627:FAR196627 FKM196627:FKN196627 FUI196627:FUJ196627 GEE196627:GEF196627 GOA196627:GOB196627 GXW196627:GXX196627 HHS196627:HHT196627 HRO196627:HRP196627 IBK196627:IBL196627 ILG196627:ILH196627 IVC196627:IVD196627 JEY196627:JEZ196627 JOU196627:JOV196627 JYQ196627:JYR196627 KIM196627:KIN196627 KSI196627:KSJ196627 LCE196627:LCF196627 LMA196627:LMB196627 LVW196627:LVX196627 MFS196627:MFT196627 MPO196627:MPP196627 MZK196627:MZL196627 NJG196627:NJH196627 NTC196627:NTD196627 OCY196627:OCZ196627 OMU196627:OMV196627 OWQ196627:OWR196627 PGM196627:PGN196627 PQI196627:PQJ196627 QAE196627:QAF196627 QKA196627:QKB196627 QTW196627:QTX196627 RDS196627:RDT196627 RNO196627:RNP196627 RXK196627:RXL196627 SHG196627:SHH196627 SRC196627:SRD196627 TAY196627:TAZ196627 TKU196627:TKV196627 TUQ196627:TUR196627 UEM196627:UEN196627 UOI196627:UOJ196627 UYE196627:UYF196627 VIA196627:VIB196627 VRW196627:VRX196627 WBS196627:WBT196627 WLO196627:WLP196627 WVK196627:WVL196627 C262163:D262163 IY262163:IZ262163 SU262163:SV262163 ACQ262163:ACR262163 AMM262163:AMN262163 AWI262163:AWJ262163 BGE262163:BGF262163 BQA262163:BQB262163 BZW262163:BZX262163 CJS262163:CJT262163 CTO262163:CTP262163 DDK262163:DDL262163 DNG262163:DNH262163 DXC262163:DXD262163 EGY262163:EGZ262163 EQU262163:EQV262163 FAQ262163:FAR262163 FKM262163:FKN262163 FUI262163:FUJ262163 GEE262163:GEF262163 GOA262163:GOB262163 GXW262163:GXX262163 HHS262163:HHT262163 HRO262163:HRP262163 IBK262163:IBL262163 ILG262163:ILH262163 IVC262163:IVD262163 JEY262163:JEZ262163 JOU262163:JOV262163 JYQ262163:JYR262163 KIM262163:KIN262163 KSI262163:KSJ262163 LCE262163:LCF262163 LMA262163:LMB262163 LVW262163:LVX262163 MFS262163:MFT262163 MPO262163:MPP262163 MZK262163:MZL262163 NJG262163:NJH262163 NTC262163:NTD262163 OCY262163:OCZ262163 OMU262163:OMV262163 OWQ262163:OWR262163 PGM262163:PGN262163 PQI262163:PQJ262163 QAE262163:QAF262163 QKA262163:QKB262163 QTW262163:QTX262163 RDS262163:RDT262163 RNO262163:RNP262163 RXK262163:RXL262163 SHG262163:SHH262163 SRC262163:SRD262163 TAY262163:TAZ262163 TKU262163:TKV262163 TUQ262163:TUR262163 UEM262163:UEN262163 UOI262163:UOJ262163 UYE262163:UYF262163 VIA262163:VIB262163 VRW262163:VRX262163 WBS262163:WBT262163 WLO262163:WLP262163 WVK262163:WVL262163 C327699:D327699 IY327699:IZ327699 SU327699:SV327699 ACQ327699:ACR327699 AMM327699:AMN327699 AWI327699:AWJ327699 BGE327699:BGF327699 BQA327699:BQB327699 BZW327699:BZX327699 CJS327699:CJT327699 CTO327699:CTP327699 DDK327699:DDL327699 DNG327699:DNH327699 DXC327699:DXD327699 EGY327699:EGZ327699 EQU327699:EQV327699 FAQ327699:FAR327699 FKM327699:FKN327699 FUI327699:FUJ327699 GEE327699:GEF327699 GOA327699:GOB327699 GXW327699:GXX327699 HHS327699:HHT327699 HRO327699:HRP327699 IBK327699:IBL327699 ILG327699:ILH327699 IVC327699:IVD327699 JEY327699:JEZ327699 JOU327699:JOV327699 JYQ327699:JYR327699 KIM327699:KIN327699 KSI327699:KSJ327699 LCE327699:LCF327699 LMA327699:LMB327699 LVW327699:LVX327699 MFS327699:MFT327699 MPO327699:MPP327699 MZK327699:MZL327699 NJG327699:NJH327699 NTC327699:NTD327699 OCY327699:OCZ327699 OMU327699:OMV327699 OWQ327699:OWR327699 PGM327699:PGN327699 PQI327699:PQJ327699 QAE327699:QAF327699 QKA327699:QKB327699 QTW327699:QTX327699 RDS327699:RDT327699 RNO327699:RNP327699 RXK327699:RXL327699 SHG327699:SHH327699 SRC327699:SRD327699 TAY327699:TAZ327699 TKU327699:TKV327699 TUQ327699:TUR327699 UEM327699:UEN327699 UOI327699:UOJ327699 UYE327699:UYF327699 VIA327699:VIB327699 VRW327699:VRX327699 WBS327699:WBT327699 WLO327699:WLP327699 WVK327699:WVL327699 C393235:D393235 IY393235:IZ393235 SU393235:SV393235 ACQ393235:ACR393235 AMM393235:AMN393235 AWI393235:AWJ393235 BGE393235:BGF393235 BQA393235:BQB393235 BZW393235:BZX393235 CJS393235:CJT393235 CTO393235:CTP393235 DDK393235:DDL393235 DNG393235:DNH393235 DXC393235:DXD393235 EGY393235:EGZ393235 EQU393235:EQV393235 FAQ393235:FAR393235 FKM393235:FKN393235 FUI393235:FUJ393235 GEE393235:GEF393235 GOA393235:GOB393235 GXW393235:GXX393235 HHS393235:HHT393235 HRO393235:HRP393235 IBK393235:IBL393235 ILG393235:ILH393235 IVC393235:IVD393235 JEY393235:JEZ393235 JOU393235:JOV393235 JYQ393235:JYR393235 KIM393235:KIN393235 KSI393235:KSJ393235 LCE393235:LCF393235 LMA393235:LMB393235 LVW393235:LVX393235 MFS393235:MFT393235 MPO393235:MPP393235 MZK393235:MZL393235 NJG393235:NJH393235 NTC393235:NTD393235 OCY393235:OCZ393235 OMU393235:OMV393235 OWQ393235:OWR393235 PGM393235:PGN393235 PQI393235:PQJ393235 QAE393235:QAF393235 QKA393235:QKB393235 QTW393235:QTX393235 RDS393235:RDT393235 RNO393235:RNP393235 RXK393235:RXL393235 SHG393235:SHH393235 SRC393235:SRD393235 TAY393235:TAZ393235 TKU393235:TKV393235 TUQ393235:TUR393235 UEM393235:UEN393235 UOI393235:UOJ393235 UYE393235:UYF393235 VIA393235:VIB393235 VRW393235:VRX393235 WBS393235:WBT393235 WLO393235:WLP393235 WVK393235:WVL393235 C458771:D458771 IY458771:IZ458771 SU458771:SV458771 ACQ458771:ACR458771 AMM458771:AMN458771 AWI458771:AWJ458771 BGE458771:BGF458771 BQA458771:BQB458771 BZW458771:BZX458771 CJS458771:CJT458771 CTO458771:CTP458771 DDK458771:DDL458771 DNG458771:DNH458771 DXC458771:DXD458771 EGY458771:EGZ458771 EQU458771:EQV458771 FAQ458771:FAR458771 FKM458771:FKN458771 FUI458771:FUJ458771 GEE458771:GEF458771 GOA458771:GOB458771 GXW458771:GXX458771 HHS458771:HHT458771 HRO458771:HRP458771 IBK458771:IBL458771 ILG458771:ILH458771 IVC458771:IVD458771 JEY458771:JEZ458771 JOU458771:JOV458771 JYQ458771:JYR458771 KIM458771:KIN458771 KSI458771:KSJ458771 LCE458771:LCF458771 LMA458771:LMB458771 LVW458771:LVX458771 MFS458771:MFT458771 MPO458771:MPP458771 MZK458771:MZL458771 NJG458771:NJH458771 NTC458771:NTD458771 OCY458771:OCZ458771 OMU458771:OMV458771 OWQ458771:OWR458771 PGM458771:PGN458771 PQI458771:PQJ458771 QAE458771:QAF458771 QKA458771:QKB458771 QTW458771:QTX458771 RDS458771:RDT458771 RNO458771:RNP458771 RXK458771:RXL458771 SHG458771:SHH458771 SRC458771:SRD458771 TAY458771:TAZ458771 TKU458771:TKV458771 TUQ458771:TUR458771 UEM458771:UEN458771 UOI458771:UOJ458771 UYE458771:UYF458771 VIA458771:VIB458771 VRW458771:VRX458771 WBS458771:WBT458771 WLO458771:WLP458771 WVK458771:WVL458771 C524307:D524307 IY524307:IZ524307 SU524307:SV524307 ACQ524307:ACR524307 AMM524307:AMN524307 AWI524307:AWJ524307 BGE524307:BGF524307 BQA524307:BQB524307 BZW524307:BZX524307 CJS524307:CJT524307 CTO524307:CTP524307 DDK524307:DDL524307 DNG524307:DNH524307 DXC524307:DXD524307 EGY524307:EGZ524307 EQU524307:EQV524307 FAQ524307:FAR524307 FKM524307:FKN524307 FUI524307:FUJ524307 GEE524307:GEF524307 GOA524307:GOB524307 GXW524307:GXX524307 HHS524307:HHT524307 HRO524307:HRP524307 IBK524307:IBL524307 ILG524307:ILH524307 IVC524307:IVD524307 JEY524307:JEZ524307 JOU524307:JOV524307 JYQ524307:JYR524307 KIM524307:KIN524307 KSI524307:KSJ524307 LCE524307:LCF524307 LMA524307:LMB524307 LVW524307:LVX524307 MFS524307:MFT524307 MPO524307:MPP524307 MZK524307:MZL524307 NJG524307:NJH524307 NTC524307:NTD524307 OCY524307:OCZ524307 OMU524307:OMV524307 OWQ524307:OWR524307 PGM524307:PGN524307 PQI524307:PQJ524307 QAE524307:QAF524307 QKA524307:QKB524307 QTW524307:QTX524307 RDS524307:RDT524307 RNO524307:RNP524307 RXK524307:RXL524307 SHG524307:SHH524307 SRC524307:SRD524307 TAY524307:TAZ524307 TKU524307:TKV524307 TUQ524307:TUR524307 UEM524307:UEN524307 UOI524307:UOJ524307 UYE524307:UYF524307 VIA524307:VIB524307 VRW524307:VRX524307 WBS524307:WBT524307 WLO524307:WLP524307 WVK524307:WVL524307 C589843:D589843 IY589843:IZ589843 SU589843:SV589843 ACQ589843:ACR589843 AMM589843:AMN589843 AWI589843:AWJ589843 BGE589843:BGF589843 BQA589843:BQB589843 BZW589843:BZX589843 CJS589843:CJT589843 CTO589843:CTP589843 DDK589843:DDL589843 DNG589843:DNH589843 DXC589843:DXD589843 EGY589843:EGZ589843 EQU589843:EQV589843 FAQ589843:FAR589843 FKM589843:FKN589843 FUI589843:FUJ589843 GEE589843:GEF589843 GOA589843:GOB589843 GXW589843:GXX589843 HHS589843:HHT589843 HRO589843:HRP589843 IBK589843:IBL589843 ILG589843:ILH589843 IVC589843:IVD589843 JEY589843:JEZ589843 JOU589843:JOV589843 JYQ589843:JYR589843 KIM589843:KIN589843 KSI589843:KSJ589843 LCE589843:LCF589843 LMA589843:LMB589843 LVW589843:LVX589843 MFS589843:MFT589843 MPO589843:MPP589843 MZK589843:MZL589843 NJG589843:NJH589843 NTC589843:NTD589843 OCY589843:OCZ589843 OMU589843:OMV589843 OWQ589843:OWR589843 PGM589843:PGN589843 PQI589843:PQJ589843 QAE589843:QAF589843 QKA589843:QKB589843 QTW589843:QTX589843 RDS589843:RDT589843 RNO589843:RNP589843 RXK589843:RXL589843 SHG589843:SHH589843 SRC589843:SRD589843 TAY589843:TAZ589843 TKU589843:TKV589843 TUQ589843:TUR589843 UEM589843:UEN589843 UOI589843:UOJ589843 UYE589843:UYF589843 VIA589843:VIB589843 VRW589843:VRX589843 WBS589843:WBT589843 WLO589843:WLP589843 WVK589843:WVL589843 C655379:D655379 IY655379:IZ655379 SU655379:SV655379 ACQ655379:ACR655379 AMM655379:AMN655379 AWI655379:AWJ655379 BGE655379:BGF655379 BQA655379:BQB655379 BZW655379:BZX655379 CJS655379:CJT655379 CTO655379:CTP655379 DDK655379:DDL655379 DNG655379:DNH655379 DXC655379:DXD655379 EGY655379:EGZ655379 EQU655379:EQV655379 FAQ655379:FAR655379 FKM655379:FKN655379 FUI655379:FUJ655379 GEE655379:GEF655379 GOA655379:GOB655379 GXW655379:GXX655379 HHS655379:HHT655379 HRO655379:HRP655379 IBK655379:IBL655379 ILG655379:ILH655379 IVC655379:IVD655379 JEY655379:JEZ655379 JOU655379:JOV655379 JYQ655379:JYR655379 KIM655379:KIN655379 KSI655379:KSJ655379 LCE655379:LCF655379 LMA655379:LMB655379 LVW655379:LVX655379 MFS655379:MFT655379 MPO655379:MPP655379 MZK655379:MZL655379 NJG655379:NJH655379 NTC655379:NTD655379 OCY655379:OCZ655379 OMU655379:OMV655379 OWQ655379:OWR655379 PGM655379:PGN655379 PQI655379:PQJ655379 QAE655379:QAF655379 QKA655379:QKB655379 QTW655379:QTX655379 RDS655379:RDT655379 RNO655379:RNP655379 RXK655379:RXL655379 SHG655379:SHH655379 SRC655379:SRD655379 TAY655379:TAZ655379 TKU655379:TKV655379 TUQ655379:TUR655379 UEM655379:UEN655379 UOI655379:UOJ655379 UYE655379:UYF655379 VIA655379:VIB655379 VRW655379:VRX655379 WBS655379:WBT655379 WLO655379:WLP655379 WVK655379:WVL655379 C720915:D720915 IY720915:IZ720915 SU720915:SV720915 ACQ720915:ACR720915 AMM720915:AMN720915 AWI720915:AWJ720915 BGE720915:BGF720915 BQA720915:BQB720915 BZW720915:BZX720915 CJS720915:CJT720915 CTO720915:CTP720915 DDK720915:DDL720915 DNG720915:DNH720915 DXC720915:DXD720915 EGY720915:EGZ720915 EQU720915:EQV720915 FAQ720915:FAR720915 FKM720915:FKN720915 FUI720915:FUJ720915 GEE720915:GEF720915 GOA720915:GOB720915 GXW720915:GXX720915 HHS720915:HHT720915 HRO720915:HRP720915 IBK720915:IBL720915 ILG720915:ILH720915 IVC720915:IVD720915 JEY720915:JEZ720915 JOU720915:JOV720915 JYQ720915:JYR720915 KIM720915:KIN720915 KSI720915:KSJ720915 LCE720915:LCF720915 LMA720915:LMB720915 LVW720915:LVX720915 MFS720915:MFT720915 MPO720915:MPP720915 MZK720915:MZL720915 NJG720915:NJH720915 NTC720915:NTD720915 OCY720915:OCZ720915 OMU720915:OMV720915 OWQ720915:OWR720915 PGM720915:PGN720915 PQI720915:PQJ720915 QAE720915:QAF720915 QKA720915:QKB720915 QTW720915:QTX720915 RDS720915:RDT720915 RNO720915:RNP720915 RXK720915:RXL720915 SHG720915:SHH720915 SRC720915:SRD720915 TAY720915:TAZ720915 TKU720915:TKV720915 TUQ720915:TUR720915 UEM720915:UEN720915 UOI720915:UOJ720915 UYE720915:UYF720915 VIA720915:VIB720915 VRW720915:VRX720915 WBS720915:WBT720915 WLO720915:WLP720915 WVK720915:WVL720915 C786451:D786451 IY786451:IZ786451 SU786451:SV786451 ACQ786451:ACR786451 AMM786451:AMN786451 AWI786451:AWJ786451 BGE786451:BGF786451 BQA786451:BQB786451 BZW786451:BZX786451 CJS786451:CJT786451 CTO786451:CTP786451 DDK786451:DDL786451 DNG786451:DNH786451 DXC786451:DXD786451 EGY786451:EGZ786451 EQU786451:EQV786451 FAQ786451:FAR786451 FKM786451:FKN786451 FUI786451:FUJ786451 GEE786451:GEF786451 GOA786451:GOB786451 GXW786451:GXX786451 HHS786451:HHT786451 HRO786451:HRP786451 IBK786451:IBL786451 ILG786451:ILH786451 IVC786451:IVD786451 JEY786451:JEZ786451 JOU786451:JOV786451 JYQ786451:JYR786451 KIM786451:KIN786451 KSI786451:KSJ786451 LCE786451:LCF786451 LMA786451:LMB786451 LVW786451:LVX786451 MFS786451:MFT786451 MPO786451:MPP786451 MZK786451:MZL786451 NJG786451:NJH786451 NTC786451:NTD786451 OCY786451:OCZ786451 OMU786451:OMV786451 OWQ786451:OWR786451 PGM786451:PGN786451 PQI786451:PQJ786451 QAE786451:QAF786451 QKA786451:QKB786451 QTW786451:QTX786451 RDS786451:RDT786451 RNO786451:RNP786451 RXK786451:RXL786451 SHG786451:SHH786451 SRC786451:SRD786451 TAY786451:TAZ786451 TKU786451:TKV786451 TUQ786451:TUR786451 UEM786451:UEN786451 UOI786451:UOJ786451 UYE786451:UYF786451 VIA786451:VIB786451 VRW786451:VRX786451 WBS786451:WBT786451 WLO786451:WLP786451 WVK786451:WVL786451 C851987:D851987 IY851987:IZ851987 SU851987:SV851987 ACQ851987:ACR851987 AMM851987:AMN851987 AWI851987:AWJ851987 BGE851987:BGF851987 BQA851987:BQB851987 BZW851987:BZX851987 CJS851987:CJT851987 CTO851987:CTP851987 DDK851987:DDL851987 DNG851987:DNH851987 DXC851987:DXD851987 EGY851987:EGZ851987 EQU851987:EQV851987 FAQ851987:FAR851987 FKM851987:FKN851987 FUI851987:FUJ851987 GEE851987:GEF851987 GOA851987:GOB851987 GXW851987:GXX851987 HHS851987:HHT851987 HRO851987:HRP851987 IBK851987:IBL851987 ILG851987:ILH851987 IVC851987:IVD851987 JEY851987:JEZ851987 JOU851987:JOV851987 JYQ851987:JYR851987 KIM851987:KIN851987 KSI851987:KSJ851987 LCE851987:LCF851987 LMA851987:LMB851987 LVW851987:LVX851987 MFS851987:MFT851987 MPO851987:MPP851987 MZK851987:MZL851987 NJG851987:NJH851987 NTC851987:NTD851987 OCY851987:OCZ851987 OMU851987:OMV851987 OWQ851987:OWR851987 PGM851987:PGN851987 PQI851987:PQJ851987 QAE851987:QAF851987 QKA851987:QKB851987 QTW851987:QTX851987 RDS851987:RDT851987 RNO851987:RNP851987 RXK851987:RXL851987 SHG851987:SHH851987 SRC851987:SRD851987 TAY851987:TAZ851987 TKU851987:TKV851987 TUQ851987:TUR851987 UEM851987:UEN851987 UOI851987:UOJ851987 UYE851987:UYF851987 VIA851987:VIB851987 VRW851987:VRX851987 WBS851987:WBT851987 WLO851987:WLP851987 WVK851987:WVL851987 C917523:D917523 IY917523:IZ917523 SU917523:SV917523 ACQ917523:ACR917523 AMM917523:AMN917523 AWI917523:AWJ917523 BGE917523:BGF917523 BQA917523:BQB917523 BZW917523:BZX917523 CJS917523:CJT917523 CTO917523:CTP917523 DDK917523:DDL917523 DNG917523:DNH917523 DXC917523:DXD917523 EGY917523:EGZ917523 EQU917523:EQV917523 FAQ917523:FAR917523 FKM917523:FKN917523 FUI917523:FUJ917523 GEE917523:GEF917523 GOA917523:GOB917523 GXW917523:GXX917523 HHS917523:HHT917523 HRO917523:HRP917523 IBK917523:IBL917523 ILG917523:ILH917523 IVC917523:IVD917523 JEY917523:JEZ917523 JOU917523:JOV917523 JYQ917523:JYR917523 KIM917523:KIN917523 KSI917523:KSJ917523 LCE917523:LCF917523 LMA917523:LMB917523 LVW917523:LVX917523 MFS917523:MFT917523 MPO917523:MPP917523 MZK917523:MZL917523 NJG917523:NJH917523 NTC917523:NTD917523 OCY917523:OCZ917523 OMU917523:OMV917523 OWQ917523:OWR917523 PGM917523:PGN917523 PQI917523:PQJ917523 QAE917523:QAF917523 QKA917523:QKB917523 QTW917523:QTX917523 RDS917523:RDT917523 RNO917523:RNP917523 RXK917523:RXL917523 SHG917523:SHH917523 SRC917523:SRD917523 TAY917523:TAZ917523 TKU917523:TKV917523 TUQ917523:TUR917523 UEM917523:UEN917523 UOI917523:UOJ917523 UYE917523:UYF917523 VIA917523:VIB917523 VRW917523:VRX917523 WBS917523:WBT917523 WLO917523:WLP917523 WVK917523:WVL917523 C983059:D983059 IY983059:IZ983059 SU983059:SV983059 ACQ983059:ACR983059 AMM983059:AMN983059 AWI983059:AWJ983059 BGE983059:BGF983059 BQA983059:BQB983059 BZW983059:BZX983059 CJS983059:CJT983059 CTO983059:CTP983059 DDK983059:DDL983059 DNG983059:DNH983059 DXC983059:DXD983059 EGY983059:EGZ983059 EQU983059:EQV983059 FAQ983059:FAR983059 FKM983059:FKN983059 FUI983059:FUJ983059 GEE983059:GEF983059 GOA983059:GOB983059 GXW983059:GXX983059 HHS983059:HHT983059 HRO983059:HRP983059 IBK983059:IBL983059 ILG983059:ILH983059 IVC983059:IVD983059 JEY983059:JEZ983059 JOU983059:JOV983059 JYQ983059:JYR983059 KIM983059:KIN983059 KSI983059:KSJ983059 LCE983059:LCF983059 LMA983059:LMB983059 LVW983059:LVX983059 MFS983059:MFT983059 MPO983059:MPP983059 MZK983059:MZL983059 NJG983059:NJH983059 NTC983059:NTD983059 OCY983059:OCZ983059 OMU983059:OMV983059 OWQ983059:OWR983059 PGM983059:PGN983059 PQI983059:PQJ983059 QAE983059:QAF983059 QKA983059:QKB983059 QTW983059:QTX983059 RDS983059:RDT983059 RNO983059:RNP983059 RXK983059:RXL983059 SHG983059:SHH983059 SRC983059:SRD983059 TAY983059:TAZ983059 TKU983059:TKV983059 TUQ983059:TUR983059 UEM983059:UEN983059 UOI983059:UOJ983059 UYE983059:UYF983059 VIA983059:VIB983059 VRW983059:VRX983059 WBS983059:WBT983059 WLO983059:WLP983059 WVK983059:WVL983059 E34:E35 JA34:JA35 SW34:SW35 ACS34:ACS35 AMO34:AMO35 AWK34:AWK35 BGG34:BGG35 BQC34:BQC35 BZY34:BZY35 CJU34:CJU35 CTQ34:CTQ35 DDM34:DDM35 DNI34:DNI35 DXE34:DXE35 EHA34:EHA35 EQW34:EQW35 FAS34:FAS35 FKO34:FKO35 FUK34:FUK35 GEG34:GEG35 GOC34:GOC35 GXY34:GXY35 HHU34:HHU35 HRQ34:HRQ35 IBM34:IBM35 ILI34:ILI35 IVE34:IVE35 JFA34:JFA35 JOW34:JOW35 JYS34:JYS35 KIO34:KIO35 KSK34:KSK35 LCG34:LCG35 LMC34:LMC35 LVY34:LVY35 MFU34:MFU35 MPQ34:MPQ35 MZM34:MZM35 NJI34:NJI35 NTE34:NTE35 ODA34:ODA35 OMW34:OMW35 OWS34:OWS35 PGO34:PGO35 PQK34:PQK35 QAG34:QAG35 QKC34:QKC35 QTY34:QTY35 RDU34:RDU35 RNQ34:RNQ35 RXM34:RXM35 SHI34:SHI35 SRE34:SRE35 TBA34:TBA35 TKW34:TKW35 TUS34:TUS35 UEO34:UEO35 UOK34:UOK35 UYG34:UYG35 VIC34:VIC35 VRY34:VRY35 WBU34:WBU35 WLQ34:WLQ35 WVM34:WVM35 E65570:E65571 JA65570:JA65571 SW65570:SW65571 ACS65570:ACS65571 AMO65570:AMO65571 AWK65570:AWK65571 BGG65570:BGG65571 BQC65570:BQC65571 BZY65570:BZY65571 CJU65570:CJU65571 CTQ65570:CTQ65571 DDM65570:DDM65571 DNI65570:DNI65571 DXE65570:DXE65571 EHA65570:EHA65571 EQW65570:EQW65571 FAS65570:FAS65571 FKO65570:FKO65571 FUK65570:FUK65571 GEG65570:GEG65571 GOC65570:GOC65571 GXY65570:GXY65571 HHU65570:HHU65571 HRQ65570:HRQ65571 IBM65570:IBM65571 ILI65570:ILI65571 IVE65570:IVE65571 JFA65570:JFA65571 JOW65570:JOW65571 JYS65570:JYS65571 KIO65570:KIO65571 KSK65570:KSK65571 LCG65570:LCG65571 LMC65570:LMC65571 LVY65570:LVY65571 MFU65570:MFU65571 MPQ65570:MPQ65571 MZM65570:MZM65571 NJI65570:NJI65571 NTE65570:NTE65571 ODA65570:ODA65571 OMW65570:OMW65571 OWS65570:OWS65571 PGO65570:PGO65571 PQK65570:PQK65571 QAG65570:QAG65571 QKC65570:QKC65571 QTY65570:QTY65571 RDU65570:RDU65571 RNQ65570:RNQ65571 RXM65570:RXM65571 SHI65570:SHI65571 SRE65570:SRE65571 TBA65570:TBA65571 TKW65570:TKW65571 TUS65570:TUS65571 UEO65570:UEO65571 UOK65570:UOK65571 UYG65570:UYG65571 VIC65570:VIC65571 VRY65570:VRY65571 WBU65570:WBU65571 WLQ65570:WLQ65571 WVM65570:WVM65571 E131106:E131107 JA131106:JA131107 SW131106:SW131107 ACS131106:ACS131107 AMO131106:AMO131107 AWK131106:AWK131107 BGG131106:BGG131107 BQC131106:BQC131107 BZY131106:BZY131107 CJU131106:CJU131107 CTQ131106:CTQ131107 DDM131106:DDM131107 DNI131106:DNI131107 DXE131106:DXE131107 EHA131106:EHA131107 EQW131106:EQW131107 FAS131106:FAS131107 FKO131106:FKO131107 FUK131106:FUK131107 GEG131106:GEG131107 GOC131106:GOC131107 GXY131106:GXY131107 HHU131106:HHU131107 HRQ131106:HRQ131107 IBM131106:IBM131107 ILI131106:ILI131107 IVE131106:IVE131107 JFA131106:JFA131107 JOW131106:JOW131107 JYS131106:JYS131107 KIO131106:KIO131107 KSK131106:KSK131107 LCG131106:LCG131107 LMC131106:LMC131107 LVY131106:LVY131107 MFU131106:MFU131107 MPQ131106:MPQ131107 MZM131106:MZM131107 NJI131106:NJI131107 NTE131106:NTE131107 ODA131106:ODA131107 OMW131106:OMW131107 OWS131106:OWS131107 PGO131106:PGO131107 PQK131106:PQK131107 QAG131106:QAG131107 QKC131106:QKC131107 QTY131106:QTY131107 RDU131106:RDU131107 RNQ131106:RNQ131107 RXM131106:RXM131107 SHI131106:SHI131107 SRE131106:SRE131107 TBA131106:TBA131107 TKW131106:TKW131107 TUS131106:TUS131107 UEO131106:UEO131107 UOK131106:UOK131107 UYG131106:UYG131107 VIC131106:VIC131107 VRY131106:VRY131107 WBU131106:WBU131107 WLQ131106:WLQ131107 WVM131106:WVM131107 E196642:E196643 JA196642:JA196643 SW196642:SW196643 ACS196642:ACS196643 AMO196642:AMO196643 AWK196642:AWK196643 BGG196642:BGG196643 BQC196642:BQC196643 BZY196642:BZY196643 CJU196642:CJU196643 CTQ196642:CTQ196643 DDM196642:DDM196643 DNI196642:DNI196643 DXE196642:DXE196643 EHA196642:EHA196643 EQW196642:EQW196643 FAS196642:FAS196643 FKO196642:FKO196643 FUK196642:FUK196643 GEG196642:GEG196643 GOC196642:GOC196643 GXY196642:GXY196643 HHU196642:HHU196643 HRQ196642:HRQ196643 IBM196642:IBM196643 ILI196642:ILI196643 IVE196642:IVE196643 JFA196642:JFA196643 JOW196642:JOW196643 JYS196642:JYS196643 KIO196642:KIO196643 KSK196642:KSK196643 LCG196642:LCG196643 LMC196642:LMC196643 LVY196642:LVY196643 MFU196642:MFU196643 MPQ196642:MPQ196643 MZM196642:MZM196643 NJI196642:NJI196643 NTE196642:NTE196643 ODA196642:ODA196643 OMW196642:OMW196643 OWS196642:OWS196643 PGO196642:PGO196643 PQK196642:PQK196643 QAG196642:QAG196643 QKC196642:QKC196643 QTY196642:QTY196643 RDU196642:RDU196643 RNQ196642:RNQ196643 RXM196642:RXM196643 SHI196642:SHI196643 SRE196642:SRE196643 TBA196642:TBA196643 TKW196642:TKW196643 TUS196642:TUS196643 UEO196642:UEO196643 UOK196642:UOK196643 UYG196642:UYG196643 VIC196642:VIC196643 VRY196642:VRY196643 WBU196642:WBU196643 WLQ196642:WLQ196643 WVM196642:WVM196643 E262178:E262179 JA262178:JA262179 SW262178:SW262179 ACS262178:ACS262179 AMO262178:AMO262179 AWK262178:AWK262179 BGG262178:BGG262179 BQC262178:BQC262179 BZY262178:BZY262179 CJU262178:CJU262179 CTQ262178:CTQ262179 DDM262178:DDM262179 DNI262178:DNI262179 DXE262178:DXE262179 EHA262178:EHA262179 EQW262178:EQW262179 FAS262178:FAS262179 FKO262178:FKO262179 FUK262178:FUK262179 GEG262178:GEG262179 GOC262178:GOC262179 GXY262178:GXY262179 HHU262178:HHU262179 HRQ262178:HRQ262179 IBM262178:IBM262179 ILI262178:ILI262179 IVE262178:IVE262179 JFA262178:JFA262179 JOW262178:JOW262179 JYS262178:JYS262179 KIO262178:KIO262179 KSK262178:KSK262179 LCG262178:LCG262179 LMC262178:LMC262179 LVY262178:LVY262179 MFU262178:MFU262179 MPQ262178:MPQ262179 MZM262178:MZM262179 NJI262178:NJI262179 NTE262178:NTE262179 ODA262178:ODA262179 OMW262178:OMW262179 OWS262178:OWS262179 PGO262178:PGO262179 PQK262178:PQK262179 QAG262178:QAG262179 QKC262178:QKC262179 QTY262178:QTY262179 RDU262178:RDU262179 RNQ262178:RNQ262179 RXM262178:RXM262179 SHI262178:SHI262179 SRE262178:SRE262179 TBA262178:TBA262179 TKW262178:TKW262179 TUS262178:TUS262179 UEO262178:UEO262179 UOK262178:UOK262179 UYG262178:UYG262179 VIC262178:VIC262179 VRY262178:VRY262179 WBU262178:WBU262179 WLQ262178:WLQ262179 WVM262178:WVM262179 E327714:E327715 JA327714:JA327715 SW327714:SW327715 ACS327714:ACS327715 AMO327714:AMO327715 AWK327714:AWK327715 BGG327714:BGG327715 BQC327714:BQC327715 BZY327714:BZY327715 CJU327714:CJU327715 CTQ327714:CTQ327715 DDM327714:DDM327715 DNI327714:DNI327715 DXE327714:DXE327715 EHA327714:EHA327715 EQW327714:EQW327715 FAS327714:FAS327715 FKO327714:FKO327715 FUK327714:FUK327715 GEG327714:GEG327715 GOC327714:GOC327715 GXY327714:GXY327715 HHU327714:HHU327715 HRQ327714:HRQ327715 IBM327714:IBM327715 ILI327714:ILI327715 IVE327714:IVE327715 JFA327714:JFA327715 JOW327714:JOW327715 JYS327714:JYS327715 KIO327714:KIO327715 KSK327714:KSK327715 LCG327714:LCG327715 LMC327714:LMC327715 LVY327714:LVY327715 MFU327714:MFU327715 MPQ327714:MPQ327715 MZM327714:MZM327715 NJI327714:NJI327715 NTE327714:NTE327715 ODA327714:ODA327715 OMW327714:OMW327715 OWS327714:OWS327715 PGO327714:PGO327715 PQK327714:PQK327715 QAG327714:QAG327715 QKC327714:QKC327715 QTY327714:QTY327715 RDU327714:RDU327715 RNQ327714:RNQ327715 RXM327714:RXM327715 SHI327714:SHI327715 SRE327714:SRE327715 TBA327714:TBA327715 TKW327714:TKW327715 TUS327714:TUS327715 UEO327714:UEO327715 UOK327714:UOK327715 UYG327714:UYG327715 VIC327714:VIC327715 VRY327714:VRY327715 WBU327714:WBU327715 WLQ327714:WLQ327715 WVM327714:WVM327715 E393250:E393251 JA393250:JA393251 SW393250:SW393251 ACS393250:ACS393251 AMO393250:AMO393251 AWK393250:AWK393251 BGG393250:BGG393251 BQC393250:BQC393251 BZY393250:BZY393251 CJU393250:CJU393251 CTQ393250:CTQ393251 DDM393250:DDM393251 DNI393250:DNI393251 DXE393250:DXE393251 EHA393250:EHA393251 EQW393250:EQW393251 FAS393250:FAS393251 FKO393250:FKO393251 FUK393250:FUK393251 GEG393250:GEG393251 GOC393250:GOC393251 GXY393250:GXY393251 HHU393250:HHU393251 HRQ393250:HRQ393251 IBM393250:IBM393251 ILI393250:ILI393251 IVE393250:IVE393251 JFA393250:JFA393251 JOW393250:JOW393251 JYS393250:JYS393251 KIO393250:KIO393251 KSK393250:KSK393251 LCG393250:LCG393251 LMC393250:LMC393251 LVY393250:LVY393251 MFU393250:MFU393251 MPQ393250:MPQ393251 MZM393250:MZM393251 NJI393250:NJI393251 NTE393250:NTE393251 ODA393250:ODA393251 OMW393250:OMW393251 OWS393250:OWS393251 PGO393250:PGO393251 PQK393250:PQK393251 QAG393250:QAG393251 QKC393250:QKC393251 QTY393250:QTY393251 RDU393250:RDU393251 RNQ393250:RNQ393251 RXM393250:RXM393251 SHI393250:SHI393251 SRE393250:SRE393251 TBA393250:TBA393251 TKW393250:TKW393251 TUS393250:TUS393251 UEO393250:UEO393251 UOK393250:UOK393251 UYG393250:UYG393251 VIC393250:VIC393251 VRY393250:VRY393251 WBU393250:WBU393251 WLQ393250:WLQ393251 WVM393250:WVM393251 E458786:E458787 JA458786:JA458787 SW458786:SW458787 ACS458786:ACS458787 AMO458786:AMO458787 AWK458786:AWK458787 BGG458786:BGG458787 BQC458786:BQC458787 BZY458786:BZY458787 CJU458786:CJU458787 CTQ458786:CTQ458787 DDM458786:DDM458787 DNI458786:DNI458787 DXE458786:DXE458787 EHA458786:EHA458787 EQW458786:EQW458787 FAS458786:FAS458787 FKO458786:FKO458787 FUK458786:FUK458787 GEG458786:GEG458787 GOC458786:GOC458787 GXY458786:GXY458787 HHU458786:HHU458787 HRQ458786:HRQ458787 IBM458786:IBM458787 ILI458786:ILI458787 IVE458786:IVE458787 JFA458786:JFA458787 JOW458786:JOW458787 JYS458786:JYS458787 KIO458786:KIO458787 KSK458786:KSK458787 LCG458786:LCG458787 LMC458786:LMC458787 LVY458786:LVY458787 MFU458786:MFU458787 MPQ458786:MPQ458787 MZM458786:MZM458787 NJI458786:NJI458787 NTE458786:NTE458787 ODA458786:ODA458787 OMW458786:OMW458787 OWS458786:OWS458787 PGO458786:PGO458787 PQK458786:PQK458787 QAG458786:QAG458787 QKC458786:QKC458787 QTY458786:QTY458787 RDU458786:RDU458787 RNQ458786:RNQ458787 RXM458786:RXM458787 SHI458786:SHI458787 SRE458786:SRE458787 TBA458786:TBA458787 TKW458786:TKW458787 TUS458786:TUS458787 UEO458786:UEO458787 UOK458786:UOK458787 UYG458786:UYG458787 VIC458786:VIC458787 VRY458786:VRY458787 WBU458786:WBU458787 WLQ458786:WLQ458787 WVM458786:WVM458787 E524322:E524323 JA524322:JA524323 SW524322:SW524323 ACS524322:ACS524323 AMO524322:AMO524323 AWK524322:AWK524323 BGG524322:BGG524323 BQC524322:BQC524323 BZY524322:BZY524323 CJU524322:CJU524323 CTQ524322:CTQ524323 DDM524322:DDM524323 DNI524322:DNI524323 DXE524322:DXE524323 EHA524322:EHA524323 EQW524322:EQW524323 FAS524322:FAS524323 FKO524322:FKO524323 FUK524322:FUK524323 GEG524322:GEG524323 GOC524322:GOC524323 GXY524322:GXY524323 HHU524322:HHU524323 HRQ524322:HRQ524323 IBM524322:IBM524323 ILI524322:ILI524323 IVE524322:IVE524323 JFA524322:JFA524323 JOW524322:JOW524323 JYS524322:JYS524323 KIO524322:KIO524323 KSK524322:KSK524323 LCG524322:LCG524323 LMC524322:LMC524323 LVY524322:LVY524323 MFU524322:MFU524323 MPQ524322:MPQ524323 MZM524322:MZM524323 NJI524322:NJI524323 NTE524322:NTE524323 ODA524322:ODA524323 OMW524322:OMW524323 OWS524322:OWS524323 PGO524322:PGO524323 PQK524322:PQK524323 QAG524322:QAG524323 QKC524322:QKC524323 QTY524322:QTY524323 RDU524322:RDU524323 RNQ524322:RNQ524323 RXM524322:RXM524323 SHI524322:SHI524323 SRE524322:SRE524323 TBA524322:TBA524323 TKW524322:TKW524323 TUS524322:TUS524323 UEO524322:UEO524323 UOK524322:UOK524323 UYG524322:UYG524323 VIC524322:VIC524323 VRY524322:VRY524323 WBU524322:WBU524323 WLQ524322:WLQ524323 WVM524322:WVM524323 E589858:E589859 JA589858:JA589859 SW589858:SW589859 ACS589858:ACS589859 AMO589858:AMO589859 AWK589858:AWK589859 BGG589858:BGG589859 BQC589858:BQC589859 BZY589858:BZY589859 CJU589858:CJU589859 CTQ589858:CTQ589859 DDM589858:DDM589859 DNI589858:DNI589859 DXE589858:DXE589859 EHA589858:EHA589859 EQW589858:EQW589859 FAS589858:FAS589859 FKO589858:FKO589859 FUK589858:FUK589859 GEG589858:GEG589859 GOC589858:GOC589859 GXY589858:GXY589859 HHU589858:HHU589859 HRQ589858:HRQ589859 IBM589858:IBM589859 ILI589858:ILI589859 IVE589858:IVE589859 JFA589858:JFA589859 JOW589858:JOW589859 JYS589858:JYS589859 KIO589858:KIO589859 KSK589858:KSK589859 LCG589858:LCG589859 LMC589858:LMC589859 LVY589858:LVY589859 MFU589858:MFU589859 MPQ589858:MPQ589859 MZM589858:MZM589859 NJI589858:NJI589859 NTE589858:NTE589859 ODA589858:ODA589859 OMW589858:OMW589859 OWS589858:OWS589859 PGO589858:PGO589859 PQK589858:PQK589859 QAG589858:QAG589859 QKC589858:QKC589859 QTY589858:QTY589859 RDU589858:RDU589859 RNQ589858:RNQ589859 RXM589858:RXM589859 SHI589858:SHI589859 SRE589858:SRE589859 TBA589858:TBA589859 TKW589858:TKW589859 TUS589858:TUS589859 UEO589858:UEO589859 UOK589858:UOK589859 UYG589858:UYG589859 VIC589858:VIC589859 VRY589858:VRY589859 WBU589858:WBU589859 WLQ589858:WLQ589859 WVM589858:WVM589859 E655394:E655395 JA655394:JA655395 SW655394:SW655395 ACS655394:ACS655395 AMO655394:AMO655395 AWK655394:AWK655395 BGG655394:BGG655395 BQC655394:BQC655395 BZY655394:BZY655395 CJU655394:CJU655395 CTQ655394:CTQ655395 DDM655394:DDM655395 DNI655394:DNI655395 DXE655394:DXE655395 EHA655394:EHA655395 EQW655394:EQW655395 FAS655394:FAS655395 FKO655394:FKO655395 FUK655394:FUK655395 GEG655394:GEG655395 GOC655394:GOC655395 GXY655394:GXY655395 HHU655394:HHU655395 HRQ655394:HRQ655395 IBM655394:IBM655395 ILI655394:ILI655395 IVE655394:IVE655395 JFA655394:JFA655395 JOW655394:JOW655395 JYS655394:JYS655395 KIO655394:KIO655395 KSK655394:KSK655395 LCG655394:LCG655395 LMC655394:LMC655395 LVY655394:LVY655395 MFU655394:MFU655395 MPQ655394:MPQ655395 MZM655394:MZM655395 NJI655394:NJI655395 NTE655394:NTE655395 ODA655394:ODA655395 OMW655394:OMW655395 OWS655394:OWS655395 PGO655394:PGO655395 PQK655394:PQK655395 QAG655394:QAG655395 QKC655394:QKC655395 QTY655394:QTY655395 RDU655394:RDU655395 RNQ655394:RNQ655395 RXM655394:RXM655395 SHI655394:SHI655395 SRE655394:SRE655395 TBA655394:TBA655395 TKW655394:TKW655395 TUS655394:TUS655395 UEO655394:UEO655395 UOK655394:UOK655395 UYG655394:UYG655395 VIC655394:VIC655395 VRY655394:VRY655395 WBU655394:WBU655395 WLQ655394:WLQ655395 WVM655394:WVM655395 E720930:E720931 JA720930:JA720931 SW720930:SW720931 ACS720930:ACS720931 AMO720930:AMO720931 AWK720930:AWK720931 BGG720930:BGG720931 BQC720930:BQC720931 BZY720930:BZY720931 CJU720930:CJU720931 CTQ720930:CTQ720931 DDM720930:DDM720931 DNI720930:DNI720931 DXE720930:DXE720931 EHA720930:EHA720931 EQW720930:EQW720931 FAS720930:FAS720931 FKO720930:FKO720931 FUK720930:FUK720931 GEG720930:GEG720931 GOC720930:GOC720931 GXY720930:GXY720931 HHU720930:HHU720931 HRQ720930:HRQ720931 IBM720930:IBM720931 ILI720930:ILI720931 IVE720930:IVE720931 JFA720930:JFA720931 JOW720930:JOW720931 JYS720930:JYS720931 KIO720930:KIO720931 KSK720930:KSK720931 LCG720930:LCG720931 LMC720930:LMC720931 LVY720930:LVY720931 MFU720930:MFU720931 MPQ720930:MPQ720931 MZM720930:MZM720931 NJI720930:NJI720931 NTE720930:NTE720931 ODA720930:ODA720931 OMW720930:OMW720931 OWS720930:OWS720931 PGO720930:PGO720931 PQK720930:PQK720931 QAG720930:QAG720931 QKC720930:QKC720931 QTY720930:QTY720931 RDU720930:RDU720931 RNQ720930:RNQ720931 RXM720930:RXM720931 SHI720930:SHI720931 SRE720930:SRE720931 TBA720930:TBA720931 TKW720930:TKW720931 TUS720930:TUS720931 UEO720930:UEO720931 UOK720930:UOK720931 UYG720930:UYG720931 VIC720930:VIC720931 VRY720930:VRY720931 WBU720930:WBU720931 WLQ720930:WLQ720931 WVM720930:WVM720931 E786466:E786467 JA786466:JA786467 SW786466:SW786467 ACS786466:ACS786467 AMO786466:AMO786467 AWK786466:AWK786467 BGG786466:BGG786467 BQC786466:BQC786467 BZY786466:BZY786467 CJU786466:CJU786467 CTQ786466:CTQ786467 DDM786466:DDM786467 DNI786466:DNI786467 DXE786466:DXE786467 EHA786466:EHA786467 EQW786466:EQW786467 FAS786466:FAS786467 FKO786466:FKO786467 FUK786466:FUK786467 GEG786466:GEG786467 GOC786466:GOC786467 GXY786466:GXY786467 HHU786466:HHU786467 HRQ786466:HRQ786467 IBM786466:IBM786467 ILI786466:ILI786467 IVE786466:IVE786467 JFA786466:JFA786467 JOW786466:JOW786467 JYS786466:JYS786467 KIO786466:KIO786467 KSK786466:KSK786467 LCG786466:LCG786467 LMC786466:LMC786467 LVY786466:LVY786467 MFU786466:MFU786467 MPQ786466:MPQ786467 MZM786466:MZM786467 NJI786466:NJI786467 NTE786466:NTE786467 ODA786466:ODA786467 OMW786466:OMW786467 OWS786466:OWS786467 PGO786466:PGO786467 PQK786466:PQK786467 QAG786466:QAG786467 QKC786466:QKC786467 QTY786466:QTY786467 RDU786466:RDU786467 RNQ786466:RNQ786467 RXM786466:RXM786467 SHI786466:SHI786467 SRE786466:SRE786467 TBA786466:TBA786467 TKW786466:TKW786467 TUS786466:TUS786467 UEO786466:UEO786467 UOK786466:UOK786467 UYG786466:UYG786467 VIC786466:VIC786467 VRY786466:VRY786467 WBU786466:WBU786467 WLQ786466:WLQ786467 WVM786466:WVM786467 E852002:E852003 JA852002:JA852003 SW852002:SW852003 ACS852002:ACS852003 AMO852002:AMO852003 AWK852002:AWK852003 BGG852002:BGG852003 BQC852002:BQC852003 BZY852002:BZY852003 CJU852002:CJU852003 CTQ852002:CTQ852003 DDM852002:DDM852003 DNI852002:DNI852003 DXE852002:DXE852003 EHA852002:EHA852003 EQW852002:EQW852003 FAS852002:FAS852003 FKO852002:FKO852003 FUK852002:FUK852003 GEG852002:GEG852003 GOC852002:GOC852003 GXY852002:GXY852003 HHU852002:HHU852003 HRQ852002:HRQ852003 IBM852002:IBM852003 ILI852002:ILI852003 IVE852002:IVE852003 JFA852002:JFA852003 JOW852002:JOW852003 JYS852002:JYS852003 KIO852002:KIO852003 KSK852002:KSK852003 LCG852002:LCG852003 LMC852002:LMC852003 LVY852002:LVY852003 MFU852002:MFU852003 MPQ852002:MPQ852003 MZM852002:MZM852003 NJI852002:NJI852003 NTE852002:NTE852003 ODA852002:ODA852003 OMW852002:OMW852003 OWS852002:OWS852003 PGO852002:PGO852003 PQK852002:PQK852003 QAG852002:QAG852003 QKC852002:QKC852003 QTY852002:QTY852003 RDU852002:RDU852003 RNQ852002:RNQ852003 RXM852002:RXM852003 SHI852002:SHI852003 SRE852002:SRE852003 TBA852002:TBA852003 TKW852002:TKW852003 TUS852002:TUS852003 UEO852002:UEO852003 UOK852002:UOK852003 UYG852002:UYG852003 VIC852002:VIC852003 VRY852002:VRY852003 WBU852002:WBU852003 WLQ852002:WLQ852003 WVM852002:WVM852003 E917538:E917539 JA917538:JA917539 SW917538:SW917539 ACS917538:ACS917539 AMO917538:AMO917539 AWK917538:AWK917539 BGG917538:BGG917539 BQC917538:BQC917539 BZY917538:BZY917539 CJU917538:CJU917539 CTQ917538:CTQ917539 DDM917538:DDM917539 DNI917538:DNI917539 DXE917538:DXE917539 EHA917538:EHA917539 EQW917538:EQW917539 FAS917538:FAS917539 FKO917538:FKO917539 FUK917538:FUK917539 GEG917538:GEG917539 GOC917538:GOC917539 GXY917538:GXY917539 HHU917538:HHU917539 HRQ917538:HRQ917539 IBM917538:IBM917539 ILI917538:ILI917539 IVE917538:IVE917539 JFA917538:JFA917539 JOW917538:JOW917539 JYS917538:JYS917539 KIO917538:KIO917539 KSK917538:KSK917539 LCG917538:LCG917539 LMC917538:LMC917539 LVY917538:LVY917539 MFU917538:MFU917539 MPQ917538:MPQ917539 MZM917538:MZM917539 NJI917538:NJI917539 NTE917538:NTE917539 ODA917538:ODA917539 OMW917538:OMW917539 OWS917538:OWS917539 PGO917538:PGO917539 PQK917538:PQK917539 QAG917538:QAG917539 QKC917538:QKC917539 QTY917538:QTY917539 RDU917538:RDU917539 RNQ917538:RNQ917539 RXM917538:RXM917539 SHI917538:SHI917539 SRE917538:SRE917539 TBA917538:TBA917539 TKW917538:TKW917539 TUS917538:TUS917539 UEO917538:UEO917539 UOK917538:UOK917539 UYG917538:UYG917539 VIC917538:VIC917539 VRY917538:VRY917539 WBU917538:WBU917539 WLQ917538:WLQ917539 WVM917538:WVM917539 E983074:E983075 JA983074:JA983075 SW983074:SW983075 ACS983074:ACS983075 AMO983074:AMO983075 AWK983074:AWK983075 BGG983074:BGG983075 BQC983074:BQC983075 BZY983074:BZY983075 CJU983074:CJU983075 CTQ983074:CTQ983075 DDM983074:DDM983075 DNI983074:DNI983075 DXE983074:DXE983075 EHA983074:EHA983075 EQW983074:EQW983075 FAS983074:FAS983075 FKO983074:FKO983075 FUK983074:FUK983075 GEG983074:GEG983075 GOC983074:GOC983075 GXY983074:GXY983075 HHU983074:HHU983075 HRQ983074:HRQ983075 IBM983074:IBM983075 ILI983074:ILI983075 IVE983074:IVE983075 JFA983074:JFA983075 JOW983074:JOW983075 JYS983074:JYS983075 KIO983074:KIO983075 KSK983074:KSK983075 LCG983074:LCG983075 LMC983074:LMC983075 LVY983074:LVY983075 MFU983074:MFU983075 MPQ983074:MPQ983075 MZM983074:MZM983075 NJI983074:NJI983075 NTE983074:NTE983075 ODA983074:ODA983075 OMW983074:OMW983075 OWS983074:OWS983075 PGO983074:PGO983075 PQK983074:PQK983075 QAG983074:QAG983075 QKC983074:QKC983075 QTY983074:QTY983075 RDU983074:RDU983075 RNQ983074:RNQ983075 RXM983074:RXM983075 SHI983074:SHI983075 SRE983074:SRE983075 TBA983074:TBA983075 TKW983074:TKW983075 TUS983074:TUS983075 UEO983074:UEO983075 UOK983074:UOK983075 UYG983074:UYG983075 VIC983074:VIC983075 VRY983074:VRY983075 WBU983074:WBU983075 WLQ983074:WLQ983075 WVM983074:WVM983075 C35:D35 IY35:IZ35 SU35:SV35 ACQ35:ACR35 AMM35:AMN35 AWI35:AWJ35 BGE35:BGF35 BQA35:BQB35 BZW35:BZX35 CJS35:CJT35 CTO35:CTP35 DDK35:DDL35 DNG35:DNH35 DXC35:DXD35 EGY35:EGZ35 EQU35:EQV35 FAQ35:FAR35 FKM35:FKN35 FUI35:FUJ35 GEE35:GEF35 GOA35:GOB35 GXW35:GXX35 HHS35:HHT35 HRO35:HRP35 IBK35:IBL35 ILG35:ILH35 IVC35:IVD35 JEY35:JEZ35 JOU35:JOV35 JYQ35:JYR35 KIM35:KIN35 KSI35:KSJ35 LCE35:LCF35 LMA35:LMB35 LVW35:LVX35 MFS35:MFT35 MPO35:MPP35 MZK35:MZL35 NJG35:NJH35 NTC35:NTD35 OCY35:OCZ35 OMU35:OMV35 OWQ35:OWR35 PGM35:PGN35 PQI35:PQJ35 QAE35:QAF35 QKA35:QKB35 QTW35:QTX35 RDS35:RDT35 RNO35:RNP35 RXK35:RXL35 SHG35:SHH35 SRC35:SRD35 TAY35:TAZ35 TKU35:TKV35 TUQ35:TUR35 UEM35:UEN35 UOI35:UOJ35 UYE35:UYF35 VIA35:VIB35 VRW35:VRX35 WBS35:WBT35 WLO35:WLP35 WVK35:WVL35 C65571:D65571 IY65571:IZ65571 SU65571:SV65571 ACQ65571:ACR65571 AMM65571:AMN65571 AWI65571:AWJ65571 BGE65571:BGF65571 BQA65571:BQB65571 BZW65571:BZX65571 CJS65571:CJT65571 CTO65571:CTP65571 DDK65571:DDL65571 DNG65571:DNH65571 DXC65571:DXD65571 EGY65571:EGZ65571 EQU65571:EQV65571 FAQ65571:FAR65571 FKM65571:FKN65571 FUI65571:FUJ65571 GEE65571:GEF65571 GOA65571:GOB65571 GXW65571:GXX65571 HHS65571:HHT65571 HRO65571:HRP65571 IBK65571:IBL65571 ILG65571:ILH65571 IVC65571:IVD65571 JEY65571:JEZ65571 JOU65571:JOV65571 JYQ65571:JYR65571 KIM65571:KIN65571 KSI65571:KSJ65571 LCE65571:LCF65571 LMA65571:LMB65571 LVW65571:LVX65571 MFS65571:MFT65571 MPO65571:MPP65571 MZK65571:MZL65571 NJG65571:NJH65571 NTC65571:NTD65571 OCY65571:OCZ65571 OMU65571:OMV65571 OWQ65571:OWR65571 PGM65571:PGN65571 PQI65571:PQJ65571 QAE65571:QAF65571 QKA65571:QKB65571 QTW65571:QTX65571 RDS65571:RDT65571 RNO65571:RNP65571 RXK65571:RXL65571 SHG65571:SHH65571 SRC65571:SRD65571 TAY65571:TAZ65571 TKU65571:TKV65571 TUQ65571:TUR65571 UEM65571:UEN65571 UOI65571:UOJ65571 UYE65571:UYF65571 VIA65571:VIB65571 VRW65571:VRX65571 WBS65571:WBT65571 WLO65571:WLP65571 WVK65571:WVL65571 C131107:D131107 IY131107:IZ131107 SU131107:SV131107 ACQ131107:ACR131107 AMM131107:AMN131107 AWI131107:AWJ131107 BGE131107:BGF131107 BQA131107:BQB131107 BZW131107:BZX131107 CJS131107:CJT131107 CTO131107:CTP131107 DDK131107:DDL131107 DNG131107:DNH131107 DXC131107:DXD131107 EGY131107:EGZ131107 EQU131107:EQV131107 FAQ131107:FAR131107 FKM131107:FKN131107 FUI131107:FUJ131107 GEE131107:GEF131107 GOA131107:GOB131107 GXW131107:GXX131107 HHS131107:HHT131107 HRO131107:HRP131107 IBK131107:IBL131107 ILG131107:ILH131107 IVC131107:IVD131107 JEY131107:JEZ131107 JOU131107:JOV131107 JYQ131107:JYR131107 KIM131107:KIN131107 KSI131107:KSJ131107 LCE131107:LCF131107 LMA131107:LMB131107 LVW131107:LVX131107 MFS131107:MFT131107 MPO131107:MPP131107 MZK131107:MZL131107 NJG131107:NJH131107 NTC131107:NTD131107 OCY131107:OCZ131107 OMU131107:OMV131107 OWQ131107:OWR131107 PGM131107:PGN131107 PQI131107:PQJ131107 QAE131107:QAF131107 QKA131107:QKB131107 QTW131107:QTX131107 RDS131107:RDT131107 RNO131107:RNP131107 RXK131107:RXL131107 SHG131107:SHH131107 SRC131107:SRD131107 TAY131107:TAZ131107 TKU131107:TKV131107 TUQ131107:TUR131107 UEM131107:UEN131107 UOI131107:UOJ131107 UYE131107:UYF131107 VIA131107:VIB131107 VRW131107:VRX131107 WBS131107:WBT131107 WLO131107:WLP131107 WVK131107:WVL131107 C196643:D196643 IY196643:IZ196643 SU196643:SV196643 ACQ196643:ACR196643 AMM196643:AMN196643 AWI196643:AWJ196643 BGE196643:BGF196643 BQA196643:BQB196643 BZW196643:BZX196643 CJS196643:CJT196643 CTO196643:CTP196643 DDK196643:DDL196643 DNG196643:DNH196643 DXC196643:DXD196643 EGY196643:EGZ196643 EQU196643:EQV196643 FAQ196643:FAR196643 FKM196643:FKN196643 FUI196643:FUJ196643 GEE196643:GEF196643 GOA196643:GOB196643 GXW196643:GXX196643 HHS196643:HHT196643 HRO196643:HRP196643 IBK196643:IBL196643 ILG196643:ILH196643 IVC196643:IVD196643 JEY196643:JEZ196643 JOU196643:JOV196643 JYQ196643:JYR196643 KIM196643:KIN196643 KSI196643:KSJ196643 LCE196643:LCF196643 LMA196643:LMB196643 LVW196643:LVX196643 MFS196643:MFT196643 MPO196643:MPP196643 MZK196643:MZL196643 NJG196643:NJH196643 NTC196643:NTD196643 OCY196643:OCZ196643 OMU196643:OMV196643 OWQ196643:OWR196643 PGM196643:PGN196643 PQI196643:PQJ196643 QAE196643:QAF196643 QKA196643:QKB196643 QTW196643:QTX196643 RDS196643:RDT196643 RNO196643:RNP196643 RXK196643:RXL196643 SHG196643:SHH196643 SRC196643:SRD196643 TAY196643:TAZ196643 TKU196643:TKV196643 TUQ196643:TUR196643 UEM196643:UEN196643 UOI196643:UOJ196643 UYE196643:UYF196643 VIA196643:VIB196643 VRW196643:VRX196643 WBS196643:WBT196643 WLO196643:WLP196643 WVK196643:WVL196643 C262179:D262179 IY262179:IZ262179 SU262179:SV262179 ACQ262179:ACR262179 AMM262179:AMN262179 AWI262179:AWJ262179 BGE262179:BGF262179 BQA262179:BQB262179 BZW262179:BZX262179 CJS262179:CJT262179 CTO262179:CTP262179 DDK262179:DDL262179 DNG262179:DNH262179 DXC262179:DXD262179 EGY262179:EGZ262179 EQU262179:EQV262179 FAQ262179:FAR262179 FKM262179:FKN262179 FUI262179:FUJ262179 GEE262179:GEF262179 GOA262179:GOB262179 GXW262179:GXX262179 HHS262179:HHT262179 HRO262179:HRP262179 IBK262179:IBL262179 ILG262179:ILH262179 IVC262179:IVD262179 JEY262179:JEZ262179 JOU262179:JOV262179 JYQ262179:JYR262179 KIM262179:KIN262179 KSI262179:KSJ262179 LCE262179:LCF262179 LMA262179:LMB262179 LVW262179:LVX262179 MFS262179:MFT262179 MPO262179:MPP262179 MZK262179:MZL262179 NJG262179:NJH262179 NTC262179:NTD262179 OCY262179:OCZ262179 OMU262179:OMV262179 OWQ262179:OWR262179 PGM262179:PGN262179 PQI262179:PQJ262179 QAE262179:QAF262179 QKA262179:QKB262179 QTW262179:QTX262179 RDS262179:RDT262179 RNO262179:RNP262179 RXK262179:RXL262179 SHG262179:SHH262179 SRC262179:SRD262179 TAY262179:TAZ262179 TKU262179:TKV262179 TUQ262179:TUR262179 UEM262179:UEN262179 UOI262179:UOJ262179 UYE262179:UYF262179 VIA262179:VIB262179 VRW262179:VRX262179 WBS262179:WBT262179 WLO262179:WLP262179 WVK262179:WVL262179 C327715:D327715 IY327715:IZ327715 SU327715:SV327715 ACQ327715:ACR327715 AMM327715:AMN327715 AWI327715:AWJ327715 BGE327715:BGF327715 BQA327715:BQB327715 BZW327715:BZX327715 CJS327715:CJT327715 CTO327715:CTP327715 DDK327715:DDL327715 DNG327715:DNH327715 DXC327715:DXD327715 EGY327715:EGZ327715 EQU327715:EQV327715 FAQ327715:FAR327715 FKM327715:FKN327715 FUI327715:FUJ327715 GEE327715:GEF327715 GOA327715:GOB327715 GXW327715:GXX327715 HHS327715:HHT327715 HRO327715:HRP327715 IBK327715:IBL327715 ILG327715:ILH327715 IVC327715:IVD327715 JEY327715:JEZ327715 JOU327715:JOV327715 JYQ327715:JYR327715 KIM327715:KIN327715 KSI327715:KSJ327715 LCE327715:LCF327715 LMA327715:LMB327715 LVW327715:LVX327715 MFS327715:MFT327715 MPO327715:MPP327715 MZK327715:MZL327715 NJG327715:NJH327715 NTC327715:NTD327715 OCY327715:OCZ327715 OMU327715:OMV327715 OWQ327715:OWR327715 PGM327715:PGN327715 PQI327715:PQJ327715 QAE327715:QAF327715 QKA327715:QKB327715 QTW327715:QTX327715 RDS327715:RDT327715 RNO327715:RNP327715 RXK327715:RXL327715 SHG327715:SHH327715 SRC327715:SRD327715 TAY327715:TAZ327715 TKU327715:TKV327715 TUQ327715:TUR327715 UEM327715:UEN327715 UOI327715:UOJ327715 UYE327715:UYF327715 VIA327715:VIB327715 VRW327715:VRX327715 WBS327715:WBT327715 WLO327715:WLP327715 WVK327715:WVL327715 C393251:D393251 IY393251:IZ393251 SU393251:SV393251 ACQ393251:ACR393251 AMM393251:AMN393251 AWI393251:AWJ393251 BGE393251:BGF393251 BQA393251:BQB393251 BZW393251:BZX393251 CJS393251:CJT393251 CTO393251:CTP393251 DDK393251:DDL393251 DNG393251:DNH393251 DXC393251:DXD393251 EGY393251:EGZ393251 EQU393251:EQV393251 FAQ393251:FAR393251 FKM393251:FKN393251 FUI393251:FUJ393251 GEE393251:GEF393251 GOA393251:GOB393251 GXW393251:GXX393251 HHS393251:HHT393251 HRO393251:HRP393251 IBK393251:IBL393251 ILG393251:ILH393251 IVC393251:IVD393251 JEY393251:JEZ393251 JOU393251:JOV393251 JYQ393251:JYR393251 KIM393251:KIN393251 KSI393251:KSJ393251 LCE393251:LCF393251 LMA393251:LMB393251 LVW393251:LVX393251 MFS393251:MFT393251 MPO393251:MPP393251 MZK393251:MZL393251 NJG393251:NJH393251 NTC393251:NTD393251 OCY393251:OCZ393251 OMU393251:OMV393251 OWQ393251:OWR393251 PGM393251:PGN393251 PQI393251:PQJ393251 QAE393251:QAF393251 QKA393251:QKB393251 QTW393251:QTX393251 RDS393251:RDT393251 RNO393251:RNP393251 RXK393251:RXL393251 SHG393251:SHH393251 SRC393251:SRD393251 TAY393251:TAZ393251 TKU393251:TKV393251 TUQ393251:TUR393251 UEM393251:UEN393251 UOI393251:UOJ393251 UYE393251:UYF393251 VIA393251:VIB393251 VRW393251:VRX393251 WBS393251:WBT393251 WLO393251:WLP393251 WVK393251:WVL393251 C458787:D458787 IY458787:IZ458787 SU458787:SV458787 ACQ458787:ACR458787 AMM458787:AMN458787 AWI458787:AWJ458787 BGE458787:BGF458787 BQA458787:BQB458787 BZW458787:BZX458787 CJS458787:CJT458787 CTO458787:CTP458787 DDK458787:DDL458787 DNG458787:DNH458787 DXC458787:DXD458787 EGY458787:EGZ458787 EQU458787:EQV458787 FAQ458787:FAR458787 FKM458787:FKN458787 FUI458787:FUJ458787 GEE458787:GEF458787 GOA458787:GOB458787 GXW458787:GXX458787 HHS458787:HHT458787 HRO458787:HRP458787 IBK458787:IBL458787 ILG458787:ILH458787 IVC458787:IVD458787 JEY458787:JEZ458787 JOU458787:JOV458787 JYQ458787:JYR458787 KIM458787:KIN458787 KSI458787:KSJ458787 LCE458787:LCF458787 LMA458787:LMB458787 LVW458787:LVX458787 MFS458787:MFT458787 MPO458787:MPP458787 MZK458787:MZL458787 NJG458787:NJH458787 NTC458787:NTD458787 OCY458787:OCZ458787 OMU458787:OMV458787 OWQ458787:OWR458787 PGM458787:PGN458787 PQI458787:PQJ458787 QAE458787:QAF458787 QKA458787:QKB458787 QTW458787:QTX458787 RDS458787:RDT458787 RNO458787:RNP458787 RXK458787:RXL458787 SHG458787:SHH458787 SRC458787:SRD458787 TAY458787:TAZ458787 TKU458787:TKV458787 TUQ458787:TUR458787 UEM458787:UEN458787 UOI458787:UOJ458787 UYE458787:UYF458787 VIA458787:VIB458787 VRW458787:VRX458787 WBS458787:WBT458787 WLO458787:WLP458787 WVK458787:WVL458787 C524323:D524323 IY524323:IZ524323 SU524323:SV524323 ACQ524323:ACR524323 AMM524323:AMN524323 AWI524323:AWJ524323 BGE524323:BGF524323 BQA524323:BQB524323 BZW524323:BZX524323 CJS524323:CJT524323 CTO524323:CTP524323 DDK524323:DDL524323 DNG524323:DNH524323 DXC524323:DXD524323 EGY524323:EGZ524323 EQU524323:EQV524323 FAQ524323:FAR524323 FKM524323:FKN524323 FUI524323:FUJ524323 GEE524323:GEF524323 GOA524323:GOB524323 GXW524323:GXX524323 HHS524323:HHT524323 HRO524323:HRP524323 IBK524323:IBL524323 ILG524323:ILH524323 IVC524323:IVD524323 JEY524323:JEZ524323 JOU524323:JOV524323 JYQ524323:JYR524323 KIM524323:KIN524323 KSI524323:KSJ524323 LCE524323:LCF524323 LMA524323:LMB524323 LVW524323:LVX524323 MFS524323:MFT524323 MPO524323:MPP524323 MZK524323:MZL524323 NJG524323:NJH524323 NTC524323:NTD524323 OCY524323:OCZ524323 OMU524323:OMV524323 OWQ524323:OWR524323 PGM524323:PGN524323 PQI524323:PQJ524323 QAE524323:QAF524323 QKA524323:QKB524323 QTW524323:QTX524323 RDS524323:RDT524323 RNO524323:RNP524323 RXK524323:RXL524323 SHG524323:SHH524323 SRC524323:SRD524323 TAY524323:TAZ524323 TKU524323:TKV524323 TUQ524323:TUR524323 UEM524323:UEN524323 UOI524323:UOJ524323 UYE524323:UYF524323 VIA524323:VIB524323 VRW524323:VRX524323 WBS524323:WBT524323 WLO524323:WLP524323 WVK524323:WVL524323 C589859:D589859 IY589859:IZ589859 SU589859:SV589859 ACQ589859:ACR589859 AMM589859:AMN589859 AWI589859:AWJ589859 BGE589859:BGF589859 BQA589859:BQB589859 BZW589859:BZX589859 CJS589859:CJT589859 CTO589859:CTP589859 DDK589859:DDL589859 DNG589859:DNH589859 DXC589859:DXD589859 EGY589859:EGZ589859 EQU589859:EQV589859 FAQ589859:FAR589859 FKM589859:FKN589859 FUI589859:FUJ589859 GEE589859:GEF589859 GOA589859:GOB589859 GXW589859:GXX589859 HHS589859:HHT589859 HRO589859:HRP589859 IBK589859:IBL589859 ILG589859:ILH589859 IVC589859:IVD589859 JEY589859:JEZ589859 JOU589859:JOV589859 JYQ589859:JYR589859 KIM589859:KIN589859 KSI589859:KSJ589859 LCE589859:LCF589859 LMA589859:LMB589859 LVW589859:LVX589859 MFS589859:MFT589859 MPO589859:MPP589859 MZK589859:MZL589859 NJG589859:NJH589859 NTC589859:NTD589859 OCY589859:OCZ589859 OMU589859:OMV589859 OWQ589859:OWR589859 PGM589859:PGN589859 PQI589859:PQJ589859 QAE589859:QAF589859 QKA589859:QKB589859 QTW589859:QTX589859 RDS589859:RDT589859 RNO589859:RNP589859 RXK589859:RXL589859 SHG589859:SHH589859 SRC589859:SRD589859 TAY589859:TAZ589859 TKU589859:TKV589859 TUQ589859:TUR589859 UEM589859:UEN589859 UOI589859:UOJ589859 UYE589859:UYF589859 VIA589859:VIB589859 VRW589859:VRX589859 WBS589859:WBT589859 WLO589859:WLP589859 WVK589859:WVL589859 C655395:D655395 IY655395:IZ655395 SU655395:SV655395 ACQ655395:ACR655395 AMM655395:AMN655395 AWI655395:AWJ655395 BGE655395:BGF655395 BQA655395:BQB655395 BZW655395:BZX655395 CJS655395:CJT655395 CTO655395:CTP655395 DDK655395:DDL655395 DNG655395:DNH655395 DXC655395:DXD655395 EGY655395:EGZ655395 EQU655395:EQV655395 FAQ655395:FAR655395 FKM655395:FKN655395 FUI655395:FUJ655395 GEE655395:GEF655395 GOA655395:GOB655395 GXW655395:GXX655395 HHS655395:HHT655395 HRO655395:HRP655395 IBK655395:IBL655395 ILG655395:ILH655395 IVC655395:IVD655395 JEY655395:JEZ655395 JOU655395:JOV655395 JYQ655395:JYR655395 KIM655395:KIN655395 KSI655395:KSJ655395 LCE655395:LCF655395 LMA655395:LMB655395 LVW655395:LVX655395 MFS655395:MFT655395 MPO655395:MPP655395 MZK655395:MZL655395 NJG655395:NJH655395 NTC655395:NTD655395 OCY655395:OCZ655395 OMU655395:OMV655395 OWQ655395:OWR655395 PGM655395:PGN655395 PQI655395:PQJ655395 QAE655395:QAF655395 QKA655395:QKB655395 QTW655395:QTX655395 RDS655395:RDT655395 RNO655395:RNP655395 RXK655395:RXL655395 SHG655395:SHH655395 SRC655395:SRD655395 TAY655395:TAZ655395 TKU655395:TKV655395 TUQ655395:TUR655395 UEM655395:UEN655395 UOI655395:UOJ655395 UYE655395:UYF655395 VIA655395:VIB655395 VRW655395:VRX655395 WBS655395:WBT655395 WLO655395:WLP655395 WVK655395:WVL655395 C720931:D720931 IY720931:IZ720931 SU720931:SV720931 ACQ720931:ACR720931 AMM720931:AMN720931 AWI720931:AWJ720931 BGE720931:BGF720931 BQA720931:BQB720931 BZW720931:BZX720931 CJS720931:CJT720931 CTO720931:CTP720931 DDK720931:DDL720931 DNG720931:DNH720931 DXC720931:DXD720931 EGY720931:EGZ720931 EQU720931:EQV720931 FAQ720931:FAR720931 FKM720931:FKN720931 FUI720931:FUJ720931 GEE720931:GEF720931 GOA720931:GOB720931 GXW720931:GXX720931 HHS720931:HHT720931 HRO720931:HRP720931 IBK720931:IBL720931 ILG720931:ILH720931 IVC720931:IVD720931 JEY720931:JEZ720931 JOU720931:JOV720931 JYQ720931:JYR720931 KIM720931:KIN720931 KSI720931:KSJ720931 LCE720931:LCF720931 LMA720931:LMB720931 LVW720931:LVX720931 MFS720931:MFT720931 MPO720931:MPP720931 MZK720931:MZL720931 NJG720931:NJH720931 NTC720931:NTD720931 OCY720931:OCZ720931 OMU720931:OMV720931 OWQ720931:OWR720931 PGM720931:PGN720931 PQI720931:PQJ720931 QAE720931:QAF720931 QKA720931:QKB720931 QTW720931:QTX720931 RDS720931:RDT720931 RNO720931:RNP720931 RXK720931:RXL720931 SHG720931:SHH720931 SRC720931:SRD720931 TAY720931:TAZ720931 TKU720931:TKV720931 TUQ720931:TUR720931 UEM720931:UEN720931 UOI720931:UOJ720931 UYE720931:UYF720931 VIA720931:VIB720931 VRW720931:VRX720931 WBS720931:WBT720931 WLO720931:WLP720931 WVK720931:WVL720931 C786467:D786467 IY786467:IZ786467 SU786467:SV786467 ACQ786467:ACR786467 AMM786467:AMN786467 AWI786467:AWJ786467 BGE786467:BGF786467 BQA786467:BQB786467 BZW786467:BZX786467 CJS786467:CJT786467 CTO786467:CTP786467 DDK786467:DDL786467 DNG786467:DNH786467 DXC786467:DXD786467 EGY786467:EGZ786467 EQU786467:EQV786467 FAQ786467:FAR786467 FKM786467:FKN786467 FUI786467:FUJ786467 GEE786467:GEF786467 GOA786467:GOB786467 GXW786467:GXX786467 HHS786467:HHT786467 HRO786467:HRP786467 IBK786467:IBL786467 ILG786467:ILH786467 IVC786467:IVD786467 JEY786467:JEZ786467 JOU786467:JOV786467 JYQ786467:JYR786467 KIM786467:KIN786467 KSI786467:KSJ786467 LCE786467:LCF786467 LMA786467:LMB786467 LVW786467:LVX786467 MFS786467:MFT786467 MPO786467:MPP786467 MZK786467:MZL786467 NJG786467:NJH786467 NTC786467:NTD786467 OCY786467:OCZ786467 OMU786467:OMV786467 OWQ786467:OWR786467 PGM786467:PGN786467 PQI786467:PQJ786467 QAE786467:QAF786467 QKA786467:QKB786467 QTW786467:QTX786467 RDS786467:RDT786467 RNO786467:RNP786467 RXK786467:RXL786467 SHG786467:SHH786467 SRC786467:SRD786467 TAY786467:TAZ786467 TKU786467:TKV786467 TUQ786467:TUR786467 UEM786467:UEN786467 UOI786467:UOJ786467 UYE786467:UYF786467 VIA786467:VIB786467 VRW786467:VRX786467 WBS786467:WBT786467 WLO786467:WLP786467 WVK786467:WVL786467 C852003:D852003 IY852003:IZ852003 SU852003:SV852003 ACQ852003:ACR852003 AMM852003:AMN852003 AWI852003:AWJ852003 BGE852003:BGF852003 BQA852003:BQB852003 BZW852003:BZX852003 CJS852003:CJT852003 CTO852003:CTP852003 DDK852003:DDL852003 DNG852003:DNH852003 DXC852003:DXD852003 EGY852003:EGZ852003 EQU852003:EQV852003 FAQ852003:FAR852003 FKM852003:FKN852003 FUI852003:FUJ852003 GEE852003:GEF852003 GOA852003:GOB852003 GXW852003:GXX852003 HHS852003:HHT852003 HRO852003:HRP852003 IBK852003:IBL852003 ILG852003:ILH852003 IVC852003:IVD852003 JEY852003:JEZ852003 JOU852003:JOV852003 JYQ852003:JYR852003 KIM852003:KIN852003 KSI852003:KSJ852003 LCE852003:LCF852003 LMA852003:LMB852003 LVW852003:LVX852003 MFS852003:MFT852003 MPO852003:MPP852003 MZK852003:MZL852003 NJG852003:NJH852003 NTC852003:NTD852003 OCY852003:OCZ852003 OMU852003:OMV852003 OWQ852003:OWR852003 PGM852003:PGN852003 PQI852003:PQJ852003 QAE852003:QAF852003 QKA852003:QKB852003 QTW852003:QTX852003 RDS852003:RDT852003 RNO852003:RNP852003 RXK852003:RXL852003 SHG852003:SHH852003 SRC852003:SRD852003 TAY852003:TAZ852003 TKU852003:TKV852003 TUQ852003:TUR852003 UEM852003:UEN852003 UOI852003:UOJ852003 UYE852003:UYF852003 VIA852003:VIB852003 VRW852003:VRX852003 WBS852003:WBT852003 WLO852003:WLP852003 WVK852003:WVL852003 C917539:D917539 IY917539:IZ917539 SU917539:SV917539 ACQ917539:ACR917539 AMM917539:AMN917539 AWI917539:AWJ917539 BGE917539:BGF917539 BQA917539:BQB917539 BZW917539:BZX917539 CJS917539:CJT917539 CTO917539:CTP917539 DDK917539:DDL917539 DNG917539:DNH917539 DXC917539:DXD917539 EGY917539:EGZ917539 EQU917539:EQV917539 FAQ917539:FAR917539 FKM917539:FKN917539 FUI917539:FUJ917539 GEE917539:GEF917539 GOA917539:GOB917539 GXW917539:GXX917539 HHS917539:HHT917539 HRO917539:HRP917539 IBK917539:IBL917539 ILG917539:ILH917539 IVC917539:IVD917539 JEY917539:JEZ917539 JOU917539:JOV917539 JYQ917539:JYR917539 KIM917539:KIN917539 KSI917539:KSJ917539 LCE917539:LCF917539 LMA917539:LMB917539 LVW917539:LVX917539 MFS917539:MFT917539 MPO917539:MPP917539 MZK917539:MZL917539 NJG917539:NJH917539 NTC917539:NTD917539 OCY917539:OCZ917539 OMU917539:OMV917539 OWQ917539:OWR917539 PGM917539:PGN917539 PQI917539:PQJ917539 QAE917539:QAF917539 QKA917539:QKB917539 QTW917539:QTX917539 RDS917539:RDT917539 RNO917539:RNP917539 RXK917539:RXL917539 SHG917539:SHH917539 SRC917539:SRD917539 TAY917539:TAZ917539 TKU917539:TKV917539 TUQ917539:TUR917539 UEM917539:UEN917539 UOI917539:UOJ917539 UYE917539:UYF917539 VIA917539:VIB917539 VRW917539:VRX917539 WBS917539:WBT917539 WLO917539:WLP917539 WVK917539:WVL917539 C983075:D983075 IY983075:IZ983075 SU983075:SV983075 ACQ983075:ACR983075 AMM983075:AMN983075 AWI983075:AWJ983075 BGE983075:BGF983075 BQA983075:BQB983075 BZW983075:BZX983075 CJS983075:CJT983075 CTO983075:CTP983075 DDK983075:DDL983075 DNG983075:DNH983075 DXC983075:DXD983075 EGY983075:EGZ983075 EQU983075:EQV983075 FAQ983075:FAR983075 FKM983075:FKN983075 FUI983075:FUJ983075 GEE983075:GEF983075 GOA983075:GOB983075 GXW983075:GXX983075 HHS983075:HHT983075 HRO983075:HRP983075 IBK983075:IBL983075 ILG983075:ILH983075 IVC983075:IVD983075 JEY983075:JEZ983075 JOU983075:JOV983075 JYQ983075:JYR983075 KIM983075:KIN983075 KSI983075:KSJ983075 LCE983075:LCF983075 LMA983075:LMB983075 LVW983075:LVX983075 MFS983075:MFT983075 MPO983075:MPP983075 MZK983075:MZL983075 NJG983075:NJH983075 NTC983075:NTD983075 OCY983075:OCZ983075 OMU983075:OMV983075 OWQ983075:OWR983075 PGM983075:PGN983075 PQI983075:PQJ983075 QAE983075:QAF983075 QKA983075:QKB983075 QTW983075:QTX983075 RDS983075:RDT983075 RNO983075:RNP983075 RXK983075:RXL983075 SHG983075:SHH983075 SRC983075:SRD983075 TAY983075:TAZ983075 TKU983075:TKV983075 TUQ983075:TUR983075 UEM983075:UEN983075 UOI983075:UOJ983075 UYE983075:UYF983075 VIA983075:VIB983075 VRW983075:VRX983075 WBS983075:WBT983075 WLO983075:WLP983075 WVK983075:WVL983075 E18:E19 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E65554:E65555 JA65554:JA65555 SW65554:SW65555 ACS65554:ACS65555 AMO65554:AMO65555 AWK65554:AWK65555 BGG65554:BGG65555 BQC65554:BQC65555 BZY65554:BZY65555 CJU65554:CJU65555 CTQ65554:CTQ65555 DDM65554:DDM65555 DNI65554:DNI65555 DXE65554:DXE65555 EHA65554:EHA65555 EQW65554:EQW65555 FAS65554:FAS65555 FKO65554:FKO65555 FUK65554:FUK65555 GEG65554:GEG65555 GOC65554:GOC65555 GXY65554:GXY65555 HHU65554:HHU65555 HRQ65554:HRQ65555 IBM65554:IBM65555 ILI65554:ILI65555 IVE65554:IVE65555 JFA65554:JFA65555 JOW65554:JOW65555 JYS65554:JYS65555 KIO65554:KIO65555 KSK65554:KSK65555 LCG65554:LCG65555 LMC65554:LMC65555 LVY65554:LVY65555 MFU65554:MFU65555 MPQ65554:MPQ65555 MZM65554:MZM65555 NJI65554:NJI65555 NTE65554:NTE65555 ODA65554:ODA65555 OMW65554:OMW65555 OWS65554:OWS65555 PGO65554:PGO65555 PQK65554:PQK65555 QAG65554:QAG65555 QKC65554:QKC65555 QTY65554:QTY65555 RDU65554:RDU65555 RNQ65554:RNQ65555 RXM65554:RXM65555 SHI65554:SHI65555 SRE65554:SRE65555 TBA65554:TBA65555 TKW65554:TKW65555 TUS65554:TUS65555 UEO65554:UEO65555 UOK65554:UOK65555 UYG65554:UYG65555 VIC65554:VIC65555 VRY65554:VRY65555 WBU65554:WBU65555 WLQ65554:WLQ65555 WVM65554:WVM65555 E131090:E131091 JA131090:JA131091 SW131090:SW131091 ACS131090:ACS131091 AMO131090:AMO131091 AWK131090:AWK131091 BGG131090:BGG131091 BQC131090:BQC131091 BZY131090:BZY131091 CJU131090:CJU131091 CTQ131090:CTQ131091 DDM131090:DDM131091 DNI131090:DNI131091 DXE131090:DXE131091 EHA131090:EHA131091 EQW131090:EQW131091 FAS131090:FAS131091 FKO131090:FKO131091 FUK131090:FUK131091 GEG131090:GEG131091 GOC131090:GOC131091 GXY131090:GXY131091 HHU131090:HHU131091 HRQ131090:HRQ131091 IBM131090:IBM131091 ILI131090:ILI131091 IVE131090:IVE131091 JFA131090:JFA131091 JOW131090:JOW131091 JYS131090:JYS131091 KIO131090:KIO131091 KSK131090:KSK131091 LCG131090:LCG131091 LMC131090:LMC131091 LVY131090:LVY131091 MFU131090:MFU131091 MPQ131090:MPQ131091 MZM131090:MZM131091 NJI131090:NJI131091 NTE131090:NTE131091 ODA131090:ODA131091 OMW131090:OMW131091 OWS131090:OWS131091 PGO131090:PGO131091 PQK131090:PQK131091 QAG131090:QAG131091 QKC131090:QKC131091 QTY131090:QTY131091 RDU131090:RDU131091 RNQ131090:RNQ131091 RXM131090:RXM131091 SHI131090:SHI131091 SRE131090:SRE131091 TBA131090:TBA131091 TKW131090:TKW131091 TUS131090:TUS131091 UEO131090:UEO131091 UOK131090:UOK131091 UYG131090:UYG131091 VIC131090:VIC131091 VRY131090:VRY131091 WBU131090:WBU131091 WLQ131090:WLQ131091 WVM131090:WVM131091 E196626:E196627 JA196626:JA196627 SW196626:SW196627 ACS196626:ACS196627 AMO196626:AMO196627 AWK196626:AWK196627 BGG196626:BGG196627 BQC196626:BQC196627 BZY196626:BZY196627 CJU196626:CJU196627 CTQ196626:CTQ196627 DDM196626:DDM196627 DNI196626:DNI196627 DXE196626:DXE196627 EHA196626:EHA196627 EQW196626:EQW196627 FAS196626:FAS196627 FKO196626:FKO196627 FUK196626:FUK196627 GEG196626:GEG196627 GOC196626:GOC196627 GXY196626:GXY196627 HHU196626:HHU196627 HRQ196626:HRQ196627 IBM196626:IBM196627 ILI196626:ILI196627 IVE196626:IVE196627 JFA196626:JFA196627 JOW196626:JOW196627 JYS196626:JYS196627 KIO196626:KIO196627 KSK196626:KSK196627 LCG196626:LCG196627 LMC196626:LMC196627 LVY196626:LVY196627 MFU196626:MFU196627 MPQ196626:MPQ196627 MZM196626:MZM196627 NJI196626:NJI196627 NTE196626:NTE196627 ODA196626:ODA196627 OMW196626:OMW196627 OWS196626:OWS196627 PGO196626:PGO196627 PQK196626:PQK196627 QAG196626:QAG196627 QKC196626:QKC196627 QTY196626:QTY196627 RDU196626:RDU196627 RNQ196626:RNQ196627 RXM196626:RXM196627 SHI196626:SHI196627 SRE196626:SRE196627 TBA196626:TBA196627 TKW196626:TKW196627 TUS196626:TUS196627 UEO196626:UEO196627 UOK196626:UOK196627 UYG196626:UYG196627 VIC196626:VIC196627 VRY196626:VRY196627 WBU196626:WBU196627 WLQ196626:WLQ196627 WVM196626:WVM196627 E262162:E262163 JA262162:JA262163 SW262162:SW262163 ACS262162:ACS262163 AMO262162:AMO262163 AWK262162:AWK262163 BGG262162:BGG262163 BQC262162:BQC262163 BZY262162:BZY262163 CJU262162:CJU262163 CTQ262162:CTQ262163 DDM262162:DDM262163 DNI262162:DNI262163 DXE262162:DXE262163 EHA262162:EHA262163 EQW262162:EQW262163 FAS262162:FAS262163 FKO262162:FKO262163 FUK262162:FUK262163 GEG262162:GEG262163 GOC262162:GOC262163 GXY262162:GXY262163 HHU262162:HHU262163 HRQ262162:HRQ262163 IBM262162:IBM262163 ILI262162:ILI262163 IVE262162:IVE262163 JFA262162:JFA262163 JOW262162:JOW262163 JYS262162:JYS262163 KIO262162:KIO262163 KSK262162:KSK262163 LCG262162:LCG262163 LMC262162:LMC262163 LVY262162:LVY262163 MFU262162:MFU262163 MPQ262162:MPQ262163 MZM262162:MZM262163 NJI262162:NJI262163 NTE262162:NTE262163 ODA262162:ODA262163 OMW262162:OMW262163 OWS262162:OWS262163 PGO262162:PGO262163 PQK262162:PQK262163 QAG262162:QAG262163 QKC262162:QKC262163 QTY262162:QTY262163 RDU262162:RDU262163 RNQ262162:RNQ262163 RXM262162:RXM262163 SHI262162:SHI262163 SRE262162:SRE262163 TBA262162:TBA262163 TKW262162:TKW262163 TUS262162:TUS262163 UEO262162:UEO262163 UOK262162:UOK262163 UYG262162:UYG262163 VIC262162:VIC262163 VRY262162:VRY262163 WBU262162:WBU262163 WLQ262162:WLQ262163 WVM262162:WVM262163 E327698:E327699 JA327698:JA327699 SW327698:SW327699 ACS327698:ACS327699 AMO327698:AMO327699 AWK327698:AWK327699 BGG327698:BGG327699 BQC327698:BQC327699 BZY327698:BZY327699 CJU327698:CJU327699 CTQ327698:CTQ327699 DDM327698:DDM327699 DNI327698:DNI327699 DXE327698:DXE327699 EHA327698:EHA327699 EQW327698:EQW327699 FAS327698:FAS327699 FKO327698:FKO327699 FUK327698:FUK327699 GEG327698:GEG327699 GOC327698:GOC327699 GXY327698:GXY327699 HHU327698:HHU327699 HRQ327698:HRQ327699 IBM327698:IBM327699 ILI327698:ILI327699 IVE327698:IVE327699 JFA327698:JFA327699 JOW327698:JOW327699 JYS327698:JYS327699 KIO327698:KIO327699 KSK327698:KSK327699 LCG327698:LCG327699 LMC327698:LMC327699 LVY327698:LVY327699 MFU327698:MFU327699 MPQ327698:MPQ327699 MZM327698:MZM327699 NJI327698:NJI327699 NTE327698:NTE327699 ODA327698:ODA327699 OMW327698:OMW327699 OWS327698:OWS327699 PGO327698:PGO327699 PQK327698:PQK327699 QAG327698:QAG327699 QKC327698:QKC327699 QTY327698:QTY327699 RDU327698:RDU327699 RNQ327698:RNQ327699 RXM327698:RXM327699 SHI327698:SHI327699 SRE327698:SRE327699 TBA327698:TBA327699 TKW327698:TKW327699 TUS327698:TUS327699 UEO327698:UEO327699 UOK327698:UOK327699 UYG327698:UYG327699 VIC327698:VIC327699 VRY327698:VRY327699 WBU327698:WBU327699 WLQ327698:WLQ327699 WVM327698:WVM327699 E393234:E393235 JA393234:JA393235 SW393234:SW393235 ACS393234:ACS393235 AMO393234:AMO393235 AWK393234:AWK393235 BGG393234:BGG393235 BQC393234:BQC393235 BZY393234:BZY393235 CJU393234:CJU393235 CTQ393234:CTQ393235 DDM393234:DDM393235 DNI393234:DNI393235 DXE393234:DXE393235 EHA393234:EHA393235 EQW393234:EQW393235 FAS393234:FAS393235 FKO393234:FKO393235 FUK393234:FUK393235 GEG393234:GEG393235 GOC393234:GOC393235 GXY393234:GXY393235 HHU393234:HHU393235 HRQ393234:HRQ393235 IBM393234:IBM393235 ILI393234:ILI393235 IVE393234:IVE393235 JFA393234:JFA393235 JOW393234:JOW393235 JYS393234:JYS393235 KIO393234:KIO393235 KSK393234:KSK393235 LCG393234:LCG393235 LMC393234:LMC393235 LVY393234:LVY393235 MFU393234:MFU393235 MPQ393234:MPQ393235 MZM393234:MZM393235 NJI393234:NJI393235 NTE393234:NTE393235 ODA393234:ODA393235 OMW393234:OMW393235 OWS393234:OWS393235 PGO393234:PGO393235 PQK393234:PQK393235 QAG393234:QAG393235 QKC393234:QKC393235 QTY393234:QTY393235 RDU393234:RDU393235 RNQ393234:RNQ393235 RXM393234:RXM393235 SHI393234:SHI393235 SRE393234:SRE393235 TBA393234:TBA393235 TKW393234:TKW393235 TUS393234:TUS393235 UEO393234:UEO393235 UOK393234:UOK393235 UYG393234:UYG393235 VIC393234:VIC393235 VRY393234:VRY393235 WBU393234:WBU393235 WLQ393234:WLQ393235 WVM393234:WVM393235 E458770:E458771 JA458770:JA458771 SW458770:SW458771 ACS458770:ACS458771 AMO458770:AMO458771 AWK458770:AWK458771 BGG458770:BGG458771 BQC458770:BQC458771 BZY458770:BZY458771 CJU458770:CJU458771 CTQ458770:CTQ458771 DDM458770:DDM458771 DNI458770:DNI458771 DXE458770:DXE458771 EHA458770:EHA458771 EQW458770:EQW458771 FAS458770:FAS458771 FKO458770:FKO458771 FUK458770:FUK458771 GEG458770:GEG458771 GOC458770:GOC458771 GXY458770:GXY458771 HHU458770:HHU458771 HRQ458770:HRQ458771 IBM458770:IBM458771 ILI458770:ILI458771 IVE458770:IVE458771 JFA458770:JFA458771 JOW458770:JOW458771 JYS458770:JYS458771 KIO458770:KIO458771 KSK458770:KSK458771 LCG458770:LCG458771 LMC458770:LMC458771 LVY458770:LVY458771 MFU458770:MFU458771 MPQ458770:MPQ458771 MZM458770:MZM458771 NJI458770:NJI458771 NTE458770:NTE458771 ODA458770:ODA458771 OMW458770:OMW458771 OWS458770:OWS458771 PGO458770:PGO458771 PQK458770:PQK458771 QAG458770:QAG458771 QKC458770:QKC458771 QTY458770:QTY458771 RDU458770:RDU458771 RNQ458770:RNQ458771 RXM458770:RXM458771 SHI458770:SHI458771 SRE458770:SRE458771 TBA458770:TBA458771 TKW458770:TKW458771 TUS458770:TUS458771 UEO458770:UEO458771 UOK458770:UOK458771 UYG458770:UYG458771 VIC458770:VIC458771 VRY458770:VRY458771 WBU458770:WBU458771 WLQ458770:WLQ458771 WVM458770:WVM458771 E524306:E524307 JA524306:JA524307 SW524306:SW524307 ACS524306:ACS524307 AMO524306:AMO524307 AWK524306:AWK524307 BGG524306:BGG524307 BQC524306:BQC524307 BZY524306:BZY524307 CJU524306:CJU524307 CTQ524306:CTQ524307 DDM524306:DDM524307 DNI524306:DNI524307 DXE524306:DXE524307 EHA524306:EHA524307 EQW524306:EQW524307 FAS524306:FAS524307 FKO524306:FKO524307 FUK524306:FUK524307 GEG524306:GEG524307 GOC524306:GOC524307 GXY524306:GXY524307 HHU524306:HHU524307 HRQ524306:HRQ524307 IBM524306:IBM524307 ILI524306:ILI524307 IVE524306:IVE524307 JFA524306:JFA524307 JOW524306:JOW524307 JYS524306:JYS524307 KIO524306:KIO524307 KSK524306:KSK524307 LCG524306:LCG524307 LMC524306:LMC524307 LVY524306:LVY524307 MFU524306:MFU524307 MPQ524306:MPQ524307 MZM524306:MZM524307 NJI524306:NJI524307 NTE524306:NTE524307 ODA524306:ODA524307 OMW524306:OMW524307 OWS524306:OWS524307 PGO524306:PGO524307 PQK524306:PQK524307 QAG524306:QAG524307 QKC524306:QKC524307 QTY524306:QTY524307 RDU524306:RDU524307 RNQ524306:RNQ524307 RXM524306:RXM524307 SHI524306:SHI524307 SRE524306:SRE524307 TBA524306:TBA524307 TKW524306:TKW524307 TUS524306:TUS524307 UEO524306:UEO524307 UOK524306:UOK524307 UYG524306:UYG524307 VIC524306:VIC524307 VRY524306:VRY524307 WBU524306:WBU524307 WLQ524306:WLQ524307 WVM524306:WVM524307 E589842:E589843 JA589842:JA589843 SW589842:SW589843 ACS589842:ACS589843 AMO589842:AMO589843 AWK589842:AWK589843 BGG589842:BGG589843 BQC589842:BQC589843 BZY589842:BZY589843 CJU589842:CJU589843 CTQ589842:CTQ589843 DDM589842:DDM589843 DNI589842:DNI589843 DXE589842:DXE589843 EHA589842:EHA589843 EQW589842:EQW589843 FAS589842:FAS589843 FKO589842:FKO589843 FUK589842:FUK589843 GEG589842:GEG589843 GOC589842:GOC589843 GXY589842:GXY589843 HHU589842:HHU589843 HRQ589842:HRQ589843 IBM589842:IBM589843 ILI589842:ILI589843 IVE589842:IVE589843 JFA589842:JFA589843 JOW589842:JOW589843 JYS589842:JYS589843 KIO589842:KIO589843 KSK589842:KSK589843 LCG589842:LCG589843 LMC589842:LMC589843 LVY589842:LVY589843 MFU589842:MFU589843 MPQ589842:MPQ589843 MZM589842:MZM589843 NJI589842:NJI589843 NTE589842:NTE589843 ODA589842:ODA589843 OMW589842:OMW589843 OWS589842:OWS589843 PGO589842:PGO589843 PQK589842:PQK589843 QAG589842:QAG589843 QKC589842:QKC589843 QTY589842:QTY589843 RDU589842:RDU589843 RNQ589842:RNQ589843 RXM589842:RXM589843 SHI589842:SHI589843 SRE589842:SRE589843 TBA589842:TBA589843 TKW589842:TKW589843 TUS589842:TUS589843 UEO589842:UEO589843 UOK589842:UOK589843 UYG589842:UYG589843 VIC589842:VIC589843 VRY589842:VRY589843 WBU589842:WBU589843 WLQ589842:WLQ589843 WVM589842:WVM589843 E655378:E655379 JA655378:JA655379 SW655378:SW655379 ACS655378:ACS655379 AMO655378:AMO655379 AWK655378:AWK655379 BGG655378:BGG655379 BQC655378:BQC655379 BZY655378:BZY655379 CJU655378:CJU655379 CTQ655378:CTQ655379 DDM655378:DDM655379 DNI655378:DNI655379 DXE655378:DXE655379 EHA655378:EHA655379 EQW655378:EQW655379 FAS655378:FAS655379 FKO655378:FKO655379 FUK655378:FUK655379 GEG655378:GEG655379 GOC655378:GOC655379 GXY655378:GXY655379 HHU655378:HHU655379 HRQ655378:HRQ655379 IBM655378:IBM655379 ILI655378:ILI655379 IVE655378:IVE655379 JFA655378:JFA655379 JOW655378:JOW655379 JYS655378:JYS655379 KIO655378:KIO655379 KSK655378:KSK655379 LCG655378:LCG655379 LMC655378:LMC655379 LVY655378:LVY655379 MFU655378:MFU655379 MPQ655378:MPQ655379 MZM655378:MZM655379 NJI655378:NJI655379 NTE655378:NTE655379 ODA655378:ODA655379 OMW655378:OMW655379 OWS655378:OWS655379 PGO655378:PGO655379 PQK655378:PQK655379 QAG655378:QAG655379 QKC655378:QKC655379 QTY655378:QTY655379 RDU655378:RDU655379 RNQ655378:RNQ655379 RXM655378:RXM655379 SHI655378:SHI655379 SRE655378:SRE655379 TBA655378:TBA655379 TKW655378:TKW655379 TUS655378:TUS655379 UEO655378:UEO655379 UOK655378:UOK655379 UYG655378:UYG655379 VIC655378:VIC655379 VRY655378:VRY655379 WBU655378:WBU655379 WLQ655378:WLQ655379 WVM655378:WVM655379 E720914:E720915 JA720914:JA720915 SW720914:SW720915 ACS720914:ACS720915 AMO720914:AMO720915 AWK720914:AWK720915 BGG720914:BGG720915 BQC720914:BQC720915 BZY720914:BZY720915 CJU720914:CJU720915 CTQ720914:CTQ720915 DDM720914:DDM720915 DNI720914:DNI720915 DXE720914:DXE720915 EHA720914:EHA720915 EQW720914:EQW720915 FAS720914:FAS720915 FKO720914:FKO720915 FUK720914:FUK720915 GEG720914:GEG720915 GOC720914:GOC720915 GXY720914:GXY720915 HHU720914:HHU720915 HRQ720914:HRQ720915 IBM720914:IBM720915 ILI720914:ILI720915 IVE720914:IVE720915 JFA720914:JFA720915 JOW720914:JOW720915 JYS720914:JYS720915 KIO720914:KIO720915 KSK720914:KSK720915 LCG720914:LCG720915 LMC720914:LMC720915 LVY720914:LVY720915 MFU720914:MFU720915 MPQ720914:MPQ720915 MZM720914:MZM720915 NJI720914:NJI720915 NTE720914:NTE720915 ODA720914:ODA720915 OMW720914:OMW720915 OWS720914:OWS720915 PGO720914:PGO720915 PQK720914:PQK720915 QAG720914:QAG720915 QKC720914:QKC720915 QTY720914:QTY720915 RDU720914:RDU720915 RNQ720914:RNQ720915 RXM720914:RXM720915 SHI720914:SHI720915 SRE720914:SRE720915 TBA720914:TBA720915 TKW720914:TKW720915 TUS720914:TUS720915 UEO720914:UEO720915 UOK720914:UOK720915 UYG720914:UYG720915 VIC720914:VIC720915 VRY720914:VRY720915 WBU720914:WBU720915 WLQ720914:WLQ720915 WVM720914:WVM720915 E786450:E786451 JA786450:JA786451 SW786450:SW786451 ACS786450:ACS786451 AMO786450:AMO786451 AWK786450:AWK786451 BGG786450:BGG786451 BQC786450:BQC786451 BZY786450:BZY786451 CJU786450:CJU786451 CTQ786450:CTQ786451 DDM786450:DDM786451 DNI786450:DNI786451 DXE786450:DXE786451 EHA786450:EHA786451 EQW786450:EQW786451 FAS786450:FAS786451 FKO786450:FKO786451 FUK786450:FUK786451 GEG786450:GEG786451 GOC786450:GOC786451 GXY786450:GXY786451 HHU786450:HHU786451 HRQ786450:HRQ786451 IBM786450:IBM786451 ILI786450:ILI786451 IVE786450:IVE786451 JFA786450:JFA786451 JOW786450:JOW786451 JYS786450:JYS786451 KIO786450:KIO786451 KSK786450:KSK786451 LCG786450:LCG786451 LMC786450:LMC786451 LVY786450:LVY786451 MFU786450:MFU786451 MPQ786450:MPQ786451 MZM786450:MZM786451 NJI786450:NJI786451 NTE786450:NTE786451 ODA786450:ODA786451 OMW786450:OMW786451 OWS786450:OWS786451 PGO786450:PGO786451 PQK786450:PQK786451 QAG786450:QAG786451 QKC786450:QKC786451 QTY786450:QTY786451 RDU786450:RDU786451 RNQ786450:RNQ786451 RXM786450:RXM786451 SHI786450:SHI786451 SRE786450:SRE786451 TBA786450:TBA786451 TKW786450:TKW786451 TUS786450:TUS786451 UEO786450:UEO786451 UOK786450:UOK786451 UYG786450:UYG786451 VIC786450:VIC786451 VRY786450:VRY786451 WBU786450:WBU786451 WLQ786450:WLQ786451 WVM786450:WVM786451 E851986:E851987 JA851986:JA851987 SW851986:SW851987 ACS851986:ACS851987 AMO851986:AMO851987 AWK851986:AWK851987 BGG851986:BGG851987 BQC851986:BQC851987 BZY851986:BZY851987 CJU851986:CJU851987 CTQ851986:CTQ851987 DDM851986:DDM851987 DNI851986:DNI851987 DXE851986:DXE851987 EHA851986:EHA851987 EQW851986:EQW851987 FAS851986:FAS851987 FKO851986:FKO851987 FUK851986:FUK851987 GEG851986:GEG851987 GOC851986:GOC851987 GXY851986:GXY851987 HHU851986:HHU851987 HRQ851986:HRQ851987 IBM851986:IBM851987 ILI851986:ILI851987 IVE851986:IVE851987 JFA851986:JFA851987 JOW851986:JOW851987 JYS851986:JYS851987 KIO851986:KIO851987 KSK851986:KSK851987 LCG851986:LCG851987 LMC851986:LMC851987 LVY851986:LVY851987 MFU851986:MFU851987 MPQ851986:MPQ851987 MZM851986:MZM851987 NJI851986:NJI851987 NTE851986:NTE851987 ODA851986:ODA851987 OMW851986:OMW851987 OWS851986:OWS851987 PGO851986:PGO851987 PQK851986:PQK851987 QAG851986:QAG851987 QKC851986:QKC851987 QTY851986:QTY851987 RDU851986:RDU851987 RNQ851986:RNQ851987 RXM851986:RXM851987 SHI851986:SHI851987 SRE851986:SRE851987 TBA851986:TBA851987 TKW851986:TKW851987 TUS851986:TUS851987 UEO851986:UEO851987 UOK851986:UOK851987 UYG851986:UYG851987 VIC851986:VIC851987 VRY851986:VRY851987 WBU851986:WBU851987 WLQ851986:WLQ851987 WVM851986:WVM851987 E917522:E917523 JA917522:JA917523 SW917522:SW917523 ACS917522:ACS917523 AMO917522:AMO917523 AWK917522:AWK917523 BGG917522:BGG917523 BQC917522:BQC917523 BZY917522:BZY917523 CJU917522:CJU917523 CTQ917522:CTQ917523 DDM917522:DDM917523 DNI917522:DNI917523 DXE917522:DXE917523 EHA917522:EHA917523 EQW917522:EQW917523 FAS917522:FAS917523 FKO917522:FKO917523 FUK917522:FUK917523 GEG917522:GEG917523 GOC917522:GOC917523 GXY917522:GXY917523 HHU917522:HHU917523 HRQ917522:HRQ917523 IBM917522:IBM917523 ILI917522:ILI917523 IVE917522:IVE917523 JFA917522:JFA917523 JOW917522:JOW917523 JYS917522:JYS917523 KIO917522:KIO917523 KSK917522:KSK917523 LCG917522:LCG917523 LMC917522:LMC917523 LVY917522:LVY917523 MFU917522:MFU917523 MPQ917522:MPQ917523 MZM917522:MZM917523 NJI917522:NJI917523 NTE917522:NTE917523 ODA917522:ODA917523 OMW917522:OMW917523 OWS917522:OWS917523 PGO917522:PGO917523 PQK917522:PQK917523 QAG917522:QAG917523 QKC917522:QKC917523 QTY917522:QTY917523 RDU917522:RDU917523 RNQ917522:RNQ917523 RXM917522:RXM917523 SHI917522:SHI917523 SRE917522:SRE917523 TBA917522:TBA917523 TKW917522:TKW917523 TUS917522:TUS917523 UEO917522:UEO917523 UOK917522:UOK917523 UYG917522:UYG917523 VIC917522:VIC917523 VRY917522:VRY917523 WBU917522:WBU917523 WLQ917522:WLQ917523 WVM917522:WVM917523 E983058:E983059 JA983058:JA983059 SW983058:SW983059 ACS983058:ACS983059 AMO983058:AMO983059 AWK983058:AWK983059 BGG983058:BGG983059 BQC983058:BQC983059 BZY983058:BZY983059 CJU983058:CJU983059 CTQ983058:CTQ983059 DDM983058:DDM983059 DNI983058:DNI983059 DXE983058:DXE983059 EHA983058:EHA983059 EQW983058:EQW983059 FAS983058:FAS983059 FKO983058:FKO983059 FUK983058:FUK983059 GEG983058:GEG983059 GOC983058:GOC983059 GXY983058:GXY983059 HHU983058:HHU983059 HRQ983058:HRQ983059 IBM983058:IBM983059 ILI983058:ILI983059 IVE983058:IVE983059 JFA983058:JFA983059 JOW983058:JOW983059 JYS983058:JYS983059 KIO983058:KIO983059 KSK983058:KSK983059 LCG983058:LCG983059 LMC983058:LMC983059 LVY983058:LVY983059 MFU983058:MFU983059 MPQ983058:MPQ983059 MZM983058:MZM983059 NJI983058:NJI983059 NTE983058:NTE983059 ODA983058:ODA983059 OMW983058:OMW983059 OWS983058:OWS983059 PGO983058:PGO983059 PQK983058:PQK983059 QAG983058:QAG983059 QKC983058:QKC983059 QTY983058:QTY983059 RDU983058:RDU983059 RNQ983058:RNQ983059 RXM983058:RXM983059 SHI983058:SHI983059 SRE983058:SRE983059 TBA983058:TBA983059 TKW983058:TKW983059 TUS983058:TUS983059 UEO983058:UEO983059 UOK983058:UOK983059 UYG983058:UYG983059 VIC983058:VIC983059 VRY983058:VRY983059 WBU983058:WBU983059 WLQ983058:WLQ983059 WVM983058:WVM983059 C51:D51 IY51:IZ51 SU51:SV51 ACQ51:ACR51 AMM51:AMN51 AWI51:AWJ51 BGE51:BGF51 BQA51:BQB51 BZW51:BZX51 CJS51:CJT51 CTO51:CTP51 DDK51:DDL51 DNG51:DNH51 DXC51:DXD51 EGY51:EGZ51 EQU51:EQV51 FAQ51:FAR51 FKM51:FKN51 FUI51:FUJ51 GEE51:GEF51 GOA51:GOB51 GXW51:GXX51 HHS51:HHT51 HRO51:HRP51 IBK51:IBL51 ILG51:ILH51 IVC51:IVD51 JEY51:JEZ51 JOU51:JOV51 JYQ51:JYR51 KIM51:KIN51 KSI51:KSJ51 LCE51:LCF51 LMA51:LMB51 LVW51:LVX51 MFS51:MFT51 MPO51:MPP51 MZK51:MZL51 NJG51:NJH51 NTC51:NTD51 OCY51:OCZ51 OMU51:OMV51 OWQ51:OWR51 PGM51:PGN51 PQI51:PQJ51 QAE51:QAF51 QKA51:QKB51 QTW51:QTX51 RDS51:RDT51 RNO51:RNP51 RXK51:RXL51 SHG51:SHH51 SRC51:SRD51 TAY51:TAZ51 TKU51:TKV51 TUQ51:TUR51 UEM51:UEN51 UOI51:UOJ51 UYE51:UYF51 VIA51:VIB51 VRW51:VRX51 WBS51:WBT51 WLO51:WLP51 WVK51:WVL51 C65587:D65587 IY65587:IZ65587 SU65587:SV65587 ACQ65587:ACR65587 AMM65587:AMN65587 AWI65587:AWJ65587 BGE65587:BGF65587 BQA65587:BQB65587 BZW65587:BZX65587 CJS65587:CJT65587 CTO65587:CTP65587 DDK65587:DDL65587 DNG65587:DNH65587 DXC65587:DXD65587 EGY65587:EGZ65587 EQU65587:EQV65587 FAQ65587:FAR65587 FKM65587:FKN65587 FUI65587:FUJ65587 GEE65587:GEF65587 GOA65587:GOB65587 GXW65587:GXX65587 HHS65587:HHT65587 HRO65587:HRP65587 IBK65587:IBL65587 ILG65587:ILH65587 IVC65587:IVD65587 JEY65587:JEZ65587 JOU65587:JOV65587 JYQ65587:JYR65587 KIM65587:KIN65587 KSI65587:KSJ65587 LCE65587:LCF65587 LMA65587:LMB65587 LVW65587:LVX65587 MFS65587:MFT65587 MPO65587:MPP65587 MZK65587:MZL65587 NJG65587:NJH65587 NTC65587:NTD65587 OCY65587:OCZ65587 OMU65587:OMV65587 OWQ65587:OWR65587 PGM65587:PGN65587 PQI65587:PQJ65587 QAE65587:QAF65587 QKA65587:QKB65587 QTW65587:QTX65587 RDS65587:RDT65587 RNO65587:RNP65587 RXK65587:RXL65587 SHG65587:SHH65587 SRC65587:SRD65587 TAY65587:TAZ65587 TKU65587:TKV65587 TUQ65587:TUR65587 UEM65587:UEN65587 UOI65587:UOJ65587 UYE65587:UYF65587 VIA65587:VIB65587 VRW65587:VRX65587 WBS65587:WBT65587 WLO65587:WLP65587 WVK65587:WVL65587 C131123:D131123 IY131123:IZ131123 SU131123:SV131123 ACQ131123:ACR131123 AMM131123:AMN131123 AWI131123:AWJ131123 BGE131123:BGF131123 BQA131123:BQB131123 BZW131123:BZX131123 CJS131123:CJT131123 CTO131123:CTP131123 DDK131123:DDL131123 DNG131123:DNH131123 DXC131123:DXD131123 EGY131123:EGZ131123 EQU131123:EQV131123 FAQ131123:FAR131123 FKM131123:FKN131123 FUI131123:FUJ131123 GEE131123:GEF131123 GOA131123:GOB131123 GXW131123:GXX131123 HHS131123:HHT131123 HRO131123:HRP131123 IBK131123:IBL131123 ILG131123:ILH131123 IVC131123:IVD131123 JEY131123:JEZ131123 JOU131123:JOV131123 JYQ131123:JYR131123 KIM131123:KIN131123 KSI131123:KSJ131123 LCE131123:LCF131123 LMA131123:LMB131123 LVW131123:LVX131123 MFS131123:MFT131123 MPO131123:MPP131123 MZK131123:MZL131123 NJG131123:NJH131123 NTC131123:NTD131123 OCY131123:OCZ131123 OMU131123:OMV131123 OWQ131123:OWR131123 PGM131123:PGN131123 PQI131123:PQJ131123 QAE131123:QAF131123 QKA131123:QKB131123 QTW131123:QTX131123 RDS131123:RDT131123 RNO131123:RNP131123 RXK131123:RXL131123 SHG131123:SHH131123 SRC131123:SRD131123 TAY131123:TAZ131123 TKU131123:TKV131123 TUQ131123:TUR131123 UEM131123:UEN131123 UOI131123:UOJ131123 UYE131123:UYF131123 VIA131123:VIB131123 VRW131123:VRX131123 WBS131123:WBT131123 WLO131123:WLP131123 WVK131123:WVL131123 C196659:D196659 IY196659:IZ196659 SU196659:SV196659 ACQ196659:ACR196659 AMM196659:AMN196659 AWI196659:AWJ196659 BGE196659:BGF196659 BQA196659:BQB196659 BZW196659:BZX196659 CJS196659:CJT196659 CTO196659:CTP196659 DDK196659:DDL196659 DNG196659:DNH196659 DXC196659:DXD196659 EGY196659:EGZ196659 EQU196659:EQV196659 FAQ196659:FAR196659 FKM196659:FKN196659 FUI196659:FUJ196659 GEE196659:GEF196659 GOA196659:GOB196659 GXW196659:GXX196659 HHS196659:HHT196659 HRO196659:HRP196659 IBK196659:IBL196659 ILG196659:ILH196659 IVC196659:IVD196659 JEY196659:JEZ196659 JOU196659:JOV196659 JYQ196659:JYR196659 KIM196659:KIN196659 KSI196659:KSJ196659 LCE196659:LCF196659 LMA196659:LMB196659 LVW196659:LVX196659 MFS196659:MFT196659 MPO196659:MPP196659 MZK196659:MZL196659 NJG196659:NJH196659 NTC196659:NTD196659 OCY196659:OCZ196659 OMU196659:OMV196659 OWQ196659:OWR196659 PGM196659:PGN196659 PQI196659:PQJ196659 QAE196659:QAF196659 QKA196659:QKB196659 QTW196659:QTX196659 RDS196659:RDT196659 RNO196659:RNP196659 RXK196659:RXL196659 SHG196659:SHH196659 SRC196659:SRD196659 TAY196659:TAZ196659 TKU196659:TKV196659 TUQ196659:TUR196659 UEM196659:UEN196659 UOI196659:UOJ196659 UYE196659:UYF196659 VIA196659:VIB196659 VRW196659:VRX196659 WBS196659:WBT196659 WLO196659:WLP196659 WVK196659:WVL196659 C262195:D262195 IY262195:IZ262195 SU262195:SV262195 ACQ262195:ACR262195 AMM262195:AMN262195 AWI262195:AWJ262195 BGE262195:BGF262195 BQA262195:BQB262195 BZW262195:BZX262195 CJS262195:CJT262195 CTO262195:CTP262195 DDK262195:DDL262195 DNG262195:DNH262195 DXC262195:DXD262195 EGY262195:EGZ262195 EQU262195:EQV262195 FAQ262195:FAR262195 FKM262195:FKN262195 FUI262195:FUJ262195 GEE262195:GEF262195 GOA262195:GOB262195 GXW262195:GXX262195 HHS262195:HHT262195 HRO262195:HRP262195 IBK262195:IBL262195 ILG262195:ILH262195 IVC262195:IVD262195 JEY262195:JEZ262195 JOU262195:JOV262195 JYQ262195:JYR262195 KIM262195:KIN262195 KSI262195:KSJ262195 LCE262195:LCF262195 LMA262195:LMB262195 LVW262195:LVX262195 MFS262195:MFT262195 MPO262195:MPP262195 MZK262195:MZL262195 NJG262195:NJH262195 NTC262195:NTD262195 OCY262195:OCZ262195 OMU262195:OMV262195 OWQ262195:OWR262195 PGM262195:PGN262195 PQI262195:PQJ262195 QAE262195:QAF262195 QKA262195:QKB262195 QTW262195:QTX262195 RDS262195:RDT262195 RNO262195:RNP262195 RXK262195:RXL262195 SHG262195:SHH262195 SRC262195:SRD262195 TAY262195:TAZ262195 TKU262195:TKV262195 TUQ262195:TUR262195 UEM262195:UEN262195 UOI262195:UOJ262195 UYE262195:UYF262195 VIA262195:VIB262195 VRW262195:VRX262195 WBS262195:WBT262195 WLO262195:WLP262195 WVK262195:WVL262195 C327731:D327731 IY327731:IZ327731 SU327731:SV327731 ACQ327731:ACR327731 AMM327731:AMN327731 AWI327731:AWJ327731 BGE327731:BGF327731 BQA327731:BQB327731 BZW327731:BZX327731 CJS327731:CJT327731 CTO327731:CTP327731 DDK327731:DDL327731 DNG327731:DNH327731 DXC327731:DXD327731 EGY327731:EGZ327731 EQU327731:EQV327731 FAQ327731:FAR327731 FKM327731:FKN327731 FUI327731:FUJ327731 GEE327731:GEF327731 GOA327731:GOB327731 GXW327731:GXX327731 HHS327731:HHT327731 HRO327731:HRP327731 IBK327731:IBL327731 ILG327731:ILH327731 IVC327731:IVD327731 JEY327731:JEZ327731 JOU327731:JOV327731 JYQ327731:JYR327731 KIM327731:KIN327731 KSI327731:KSJ327731 LCE327731:LCF327731 LMA327731:LMB327731 LVW327731:LVX327731 MFS327731:MFT327731 MPO327731:MPP327731 MZK327731:MZL327731 NJG327731:NJH327731 NTC327731:NTD327731 OCY327731:OCZ327731 OMU327731:OMV327731 OWQ327731:OWR327731 PGM327731:PGN327731 PQI327731:PQJ327731 QAE327731:QAF327731 QKA327731:QKB327731 QTW327731:QTX327731 RDS327731:RDT327731 RNO327731:RNP327731 RXK327731:RXL327731 SHG327731:SHH327731 SRC327731:SRD327731 TAY327731:TAZ327731 TKU327731:TKV327731 TUQ327731:TUR327731 UEM327731:UEN327731 UOI327731:UOJ327731 UYE327731:UYF327731 VIA327731:VIB327731 VRW327731:VRX327731 WBS327731:WBT327731 WLO327731:WLP327731 WVK327731:WVL327731 C393267:D393267 IY393267:IZ393267 SU393267:SV393267 ACQ393267:ACR393267 AMM393267:AMN393267 AWI393267:AWJ393267 BGE393267:BGF393267 BQA393267:BQB393267 BZW393267:BZX393267 CJS393267:CJT393267 CTO393267:CTP393267 DDK393267:DDL393267 DNG393267:DNH393267 DXC393267:DXD393267 EGY393267:EGZ393267 EQU393267:EQV393267 FAQ393267:FAR393267 FKM393267:FKN393267 FUI393267:FUJ393267 GEE393267:GEF393267 GOA393267:GOB393267 GXW393267:GXX393267 HHS393267:HHT393267 HRO393267:HRP393267 IBK393267:IBL393267 ILG393267:ILH393267 IVC393267:IVD393267 JEY393267:JEZ393267 JOU393267:JOV393267 JYQ393267:JYR393267 KIM393267:KIN393267 KSI393267:KSJ393267 LCE393267:LCF393267 LMA393267:LMB393267 LVW393267:LVX393267 MFS393267:MFT393267 MPO393267:MPP393267 MZK393267:MZL393267 NJG393267:NJH393267 NTC393267:NTD393267 OCY393267:OCZ393267 OMU393267:OMV393267 OWQ393267:OWR393267 PGM393267:PGN393267 PQI393267:PQJ393267 QAE393267:QAF393267 QKA393267:QKB393267 QTW393267:QTX393267 RDS393267:RDT393267 RNO393267:RNP393267 RXK393267:RXL393267 SHG393267:SHH393267 SRC393267:SRD393267 TAY393267:TAZ393267 TKU393267:TKV393267 TUQ393267:TUR393267 UEM393267:UEN393267 UOI393267:UOJ393267 UYE393267:UYF393267 VIA393267:VIB393267 VRW393267:VRX393267 WBS393267:WBT393267 WLO393267:WLP393267 WVK393267:WVL393267 C458803:D458803 IY458803:IZ458803 SU458803:SV458803 ACQ458803:ACR458803 AMM458803:AMN458803 AWI458803:AWJ458803 BGE458803:BGF458803 BQA458803:BQB458803 BZW458803:BZX458803 CJS458803:CJT458803 CTO458803:CTP458803 DDK458803:DDL458803 DNG458803:DNH458803 DXC458803:DXD458803 EGY458803:EGZ458803 EQU458803:EQV458803 FAQ458803:FAR458803 FKM458803:FKN458803 FUI458803:FUJ458803 GEE458803:GEF458803 GOA458803:GOB458803 GXW458803:GXX458803 HHS458803:HHT458803 HRO458803:HRP458803 IBK458803:IBL458803 ILG458803:ILH458803 IVC458803:IVD458803 JEY458803:JEZ458803 JOU458803:JOV458803 JYQ458803:JYR458803 KIM458803:KIN458803 KSI458803:KSJ458803 LCE458803:LCF458803 LMA458803:LMB458803 LVW458803:LVX458803 MFS458803:MFT458803 MPO458803:MPP458803 MZK458803:MZL458803 NJG458803:NJH458803 NTC458803:NTD458803 OCY458803:OCZ458803 OMU458803:OMV458803 OWQ458803:OWR458803 PGM458803:PGN458803 PQI458803:PQJ458803 QAE458803:QAF458803 QKA458803:QKB458803 QTW458803:QTX458803 RDS458803:RDT458803 RNO458803:RNP458803 RXK458803:RXL458803 SHG458803:SHH458803 SRC458803:SRD458803 TAY458803:TAZ458803 TKU458803:TKV458803 TUQ458803:TUR458803 UEM458803:UEN458803 UOI458803:UOJ458803 UYE458803:UYF458803 VIA458803:VIB458803 VRW458803:VRX458803 WBS458803:WBT458803 WLO458803:WLP458803 WVK458803:WVL458803 C524339:D524339 IY524339:IZ524339 SU524339:SV524339 ACQ524339:ACR524339 AMM524339:AMN524339 AWI524339:AWJ524339 BGE524339:BGF524339 BQA524339:BQB524339 BZW524339:BZX524339 CJS524339:CJT524339 CTO524339:CTP524339 DDK524339:DDL524339 DNG524339:DNH524339 DXC524339:DXD524339 EGY524339:EGZ524339 EQU524339:EQV524339 FAQ524339:FAR524339 FKM524339:FKN524339 FUI524339:FUJ524339 GEE524339:GEF524339 GOA524339:GOB524339 GXW524339:GXX524339 HHS524339:HHT524339 HRO524339:HRP524339 IBK524339:IBL524339 ILG524339:ILH524339 IVC524339:IVD524339 JEY524339:JEZ524339 JOU524339:JOV524339 JYQ524339:JYR524339 KIM524339:KIN524339 KSI524339:KSJ524339 LCE524339:LCF524339 LMA524339:LMB524339 LVW524339:LVX524339 MFS524339:MFT524339 MPO524339:MPP524339 MZK524339:MZL524339 NJG524339:NJH524339 NTC524339:NTD524339 OCY524339:OCZ524339 OMU524339:OMV524339 OWQ524339:OWR524339 PGM524339:PGN524339 PQI524339:PQJ524339 QAE524339:QAF524339 QKA524339:QKB524339 QTW524339:QTX524339 RDS524339:RDT524339 RNO524339:RNP524339 RXK524339:RXL524339 SHG524339:SHH524339 SRC524339:SRD524339 TAY524339:TAZ524339 TKU524339:TKV524339 TUQ524339:TUR524339 UEM524339:UEN524339 UOI524339:UOJ524339 UYE524339:UYF524339 VIA524339:VIB524339 VRW524339:VRX524339 WBS524339:WBT524339 WLO524339:WLP524339 WVK524339:WVL524339 C589875:D589875 IY589875:IZ589875 SU589875:SV589875 ACQ589875:ACR589875 AMM589875:AMN589875 AWI589875:AWJ589875 BGE589875:BGF589875 BQA589875:BQB589875 BZW589875:BZX589875 CJS589875:CJT589875 CTO589875:CTP589875 DDK589875:DDL589875 DNG589875:DNH589875 DXC589875:DXD589875 EGY589875:EGZ589875 EQU589875:EQV589875 FAQ589875:FAR589875 FKM589875:FKN589875 FUI589875:FUJ589875 GEE589875:GEF589875 GOA589875:GOB589875 GXW589875:GXX589875 HHS589875:HHT589875 HRO589875:HRP589875 IBK589875:IBL589875 ILG589875:ILH589875 IVC589875:IVD589875 JEY589875:JEZ589875 JOU589875:JOV589875 JYQ589875:JYR589875 KIM589875:KIN589875 KSI589875:KSJ589875 LCE589875:LCF589875 LMA589875:LMB589875 LVW589875:LVX589875 MFS589875:MFT589875 MPO589875:MPP589875 MZK589875:MZL589875 NJG589875:NJH589875 NTC589875:NTD589875 OCY589875:OCZ589875 OMU589875:OMV589875 OWQ589875:OWR589875 PGM589875:PGN589875 PQI589875:PQJ589875 QAE589875:QAF589875 QKA589875:QKB589875 QTW589875:QTX589875 RDS589875:RDT589875 RNO589875:RNP589875 RXK589875:RXL589875 SHG589875:SHH589875 SRC589875:SRD589875 TAY589875:TAZ589875 TKU589875:TKV589875 TUQ589875:TUR589875 UEM589875:UEN589875 UOI589875:UOJ589875 UYE589875:UYF589875 VIA589875:VIB589875 VRW589875:VRX589875 WBS589875:WBT589875 WLO589875:WLP589875 WVK589875:WVL589875 C655411:D655411 IY655411:IZ655411 SU655411:SV655411 ACQ655411:ACR655411 AMM655411:AMN655411 AWI655411:AWJ655411 BGE655411:BGF655411 BQA655411:BQB655411 BZW655411:BZX655411 CJS655411:CJT655411 CTO655411:CTP655411 DDK655411:DDL655411 DNG655411:DNH655411 DXC655411:DXD655411 EGY655411:EGZ655411 EQU655411:EQV655411 FAQ655411:FAR655411 FKM655411:FKN655411 FUI655411:FUJ655411 GEE655411:GEF655411 GOA655411:GOB655411 GXW655411:GXX655411 HHS655411:HHT655411 HRO655411:HRP655411 IBK655411:IBL655411 ILG655411:ILH655411 IVC655411:IVD655411 JEY655411:JEZ655411 JOU655411:JOV655411 JYQ655411:JYR655411 KIM655411:KIN655411 KSI655411:KSJ655411 LCE655411:LCF655411 LMA655411:LMB655411 LVW655411:LVX655411 MFS655411:MFT655411 MPO655411:MPP655411 MZK655411:MZL655411 NJG655411:NJH655411 NTC655411:NTD655411 OCY655411:OCZ655411 OMU655411:OMV655411 OWQ655411:OWR655411 PGM655411:PGN655411 PQI655411:PQJ655411 QAE655411:QAF655411 QKA655411:QKB655411 QTW655411:QTX655411 RDS655411:RDT655411 RNO655411:RNP655411 RXK655411:RXL655411 SHG655411:SHH655411 SRC655411:SRD655411 TAY655411:TAZ655411 TKU655411:TKV655411 TUQ655411:TUR655411 UEM655411:UEN655411 UOI655411:UOJ655411 UYE655411:UYF655411 VIA655411:VIB655411 VRW655411:VRX655411 WBS655411:WBT655411 WLO655411:WLP655411 WVK655411:WVL655411 C720947:D720947 IY720947:IZ720947 SU720947:SV720947 ACQ720947:ACR720947 AMM720947:AMN720947 AWI720947:AWJ720947 BGE720947:BGF720947 BQA720947:BQB720947 BZW720947:BZX720947 CJS720947:CJT720947 CTO720947:CTP720947 DDK720947:DDL720947 DNG720947:DNH720947 DXC720947:DXD720947 EGY720947:EGZ720947 EQU720947:EQV720947 FAQ720947:FAR720947 FKM720947:FKN720947 FUI720947:FUJ720947 GEE720947:GEF720947 GOA720947:GOB720947 GXW720947:GXX720947 HHS720947:HHT720947 HRO720947:HRP720947 IBK720947:IBL720947 ILG720947:ILH720947 IVC720947:IVD720947 JEY720947:JEZ720947 JOU720947:JOV720947 JYQ720947:JYR720947 KIM720947:KIN720947 KSI720947:KSJ720947 LCE720947:LCF720947 LMA720947:LMB720947 LVW720947:LVX720947 MFS720947:MFT720947 MPO720947:MPP720947 MZK720947:MZL720947 NJG720947:NJH720947 NTC720947:NTD720947 OCY720947:OCZ720947 OMU720947:OMV720947 OWQ720947:OWR720947 PGM720947:PGN720947 PQI720947:PQJ720947 QAE720947:QAF720947 QKA720947:QKB720947 QTW720947:QTX720947 RDS720947:RDT720947 RNO720947:RNP720947 RXK720947:RXL720947 SHG720947:SHH720947 SRC720947:SRD720947 TAY720947:TAZ720947 TKU720947:TKV720947 TUQ720947:TUR720947 UEM720947:UEN720947 UOI720947:UOJ720947 UYE720947:UYF720947 VIA720947:VIB720947 VRW720947:VRX720947 WBS720947:WBT720947 WLO720947:WLP720947 WVK720947:WVL720947 C786483:D786483 IY786483:IZ786483 SU786483:SV786483 ACQ786483:ACR786483 AMM786483:AMN786483 AWI786483:AWJ786483 BGE786483:BGF786483 BQA786483:BQB786483 BZW786483:BZX786483 CJS786483:CJT786483 CTO786483:CTP786483 DDK786483:DDL786483 DNG786483:DNH786483 DXC786483:DXD786483 EGY786483:EGZ786483 EQU786483:EQV786483 FAQ786483:FAR786483 FKM786483:FKN786483 FUI786483:FUJ786483 GEE786483:GEF786483 GOA786483:GOB786483 GXW786483:GXX786483 HHS786483:HHT786483 HRO786483:HRP786483 IBK786483:IBL786483 ILG786483:ILH786483 IVC786483:IVD786483 JEY786483:JEZ786483 JOU786483:JOV786483 JYQ786483:JYR786483 KIM786483:KIN786483 KSI786483:KSJ786483 LCE786483:LCF786483 LMA786483:LMB786483 LVW786483:LVX786483 MFS786483:MFT786483 MPO786483:MPP786483 MZK786483:MZL786483 NJG786483:NJH786483 NTC786483:NTD786483 OCY786483:OCZ786483 OMU786483:OMV786483 OWQ786483:OWR786483 PGM786483:PGN786483 PQI786483:PQJ786483 QAE786483:QAF786483 QKA786483:QKB786483 QTW786483:QTX786483 RDS786483:RDT786483 RNO786483:RNP786483 RXK786483:RXL786483 SHG786483:SHH786483 SRC786483:SRD786483 TAY786483:TAZ786483 TKU786483:TKV786483 TUQ786483:TUR786483 UEM786483:UEN786483 UOI786483:UOJ786483 UYE786483:UYF786483 VIA786483:VIB786483 VRW786483:VRX786483 WBS786483:WBT786483 WLO786483:WLP786483 WVK786483:WVL786483 C852019:D852019 IY852019:IZ852019 SU852019:SV852019 ACQ852019:ACR852019 AMM852019:AMN852019 AWI852019:AWJ852019 BGE852019:BGF852019 BQA852019:BQB852019 BZW852019:BZX852019 CJS852019:CJT852019 CTO852019:CTP852019 DDK852019:DDL852019 DNG852019:DNH852019 DXC852019:DXD852019 EGY852019:EGZ852019 EQU852019:EQV852019 FAQ852019:FAR852019 FKM852019:FKN852019 FUI852019:FUJ852019 GEE852019:GEF852019 GOA852019:GOB852019 GXW852019:GXX852019 HHS852019:HHT852019 HRO852019:HRP852019 IBK852019:IBL852019 ILG852019:ILH852019 IVC852019:IVD852019 JEY852019:JEZ852019 JOU852019:JOV852019 JYQ852019:JYR852019 KIM852019:KIN852019 KSI852019:KSJ852019 LCE852019:LCF852019 LMA852019:LMB852019 LVW852019:LVX852019 MFS852019:MFT852019 MPO852019:MPP852019 MZK852019:MZL852019 NJG852019:NJH852019 NTC852019:NTD852019 OCY852019:OCZ852019 OMU852019:OMV852019 OWQ852019:OWR852019 PGM852019:PGN852019 PQI852019:PQJ852019 QAE852019:QAF852019 QKA852019:QKB852019 QTW852019:QTX852019 RDS852019:RDT852019 RNO852019:RNP852019 RXK852019:RXL852019 SHG852019:SHH852019 SRC852019:SRD852019 TAY852019:TAZ852019 TKU852019:TKV852019 TUQ852019:TUR852019 UEM852019:UEN852019 UOI852019:UOJ852019 UYE852019:UYF852019 VIA852019:VIB852019 VRW852019:VRX852019 WBS852019:WBT852019 WLO852019:WLP852019 WVK852019:WVL852019 C917555:D917555 IY917555:IZ917555 SU917555:SV917555 ACQ917555:ACR917555 AMM917555:AMN917555 AWI917555:AWJ917555 BGE917555:BGF917555 BQA917555:BQB917555 BZW917555:BZX917555 CJS917555:CJT917555 CTO917555:CTP917555 DDK917555:DDL917555 DNG917555:DNH917555 DXC917555:DXD917555 EGY917555:EGZ917555 EQU917555:EQV917555 FAQ917555:FAR917555 FKM917555:FKN917555 FUI917555:FUJ917555 GEE917555:GEF917555 GOA917555:GOB917555 GXW917555:GXX917555 HHS917555:HHT917555 HRO917555:HRP917555 IBK917555:IBL917555 ILG917555:ILH917555 IVC917555:IVD917555 JEY917555:JEZ917555 JOU917555:JOV917555 JYQ917555:JYR917555 KIM917555:KIN917555 KSI917555:KSJ917555 LCE917555:LCF917555 LMA917555:LMB917555 LVW917555:LVX917555 MFS917555:MFT917555 MPO917555:MPP917555 MZK917555:MZL917555 NJG917555:NJH917555 NTC917555:NTD917555 OCY917555:OCZ917555 OMU917555:OMV917555 OWQ917555:OWR917555 PGM917555:PGN917555 PQI917555:PQJ917555 QAE917555:QAF917555 QKA917555:QKB917555 QTW917555:QTX917555 RDS917555:RDT917555 RNO917555:RNP917555 RXK917555:RXL917555 SHG917555:SHH917555 SRC917555:SRD917555 TAY917555:TAZ917555 TKU917555:TKV917555 TUQ917555:TUR917555 UEM917555:UEN917555 UOI917555:UOJ917555 UYE917555:UYF917555 VIA917555:VIB917555 VRW917555:VRX917555 WBS917555:WBT917555 WLO917555:WLP917555 WVK917555:WVL917555 C983091:D983091 IY983091:IZ983091 SU983091:SV983091 ACQ983091:ACR983091 AMM983091:AMN983091 AWI983091:AWJ983091 BGE983091:BGF983091 BQA983091:BQB983091 BZW983091:BZX983091 CJS983091:CJT983091 CTO983091:CTP983091 DDK983091:DDL983091 DNG983091:DNH983091 DXC983091:DXD983091 EGY983091:EGZ983091 EQU983091:EQV983091 FAQ983091:FAR983091 FKM983091:FKN983091 FUI983091:FUJ983091 GEE983091:GEF983091 GOA983091:GOB983091 GXW983091:GXX983091 HHS983091:HHT983091 HRO983091:HRP983091 IBK983091:IBL983091 ILG983091:ILH983091 IVC983091:IVD983091 JEY983091:JEZ983091 JOU983091:JOV983091 JYQ983091:JYR983091 KIM983091:KIN983091 KSI983091:KSJ983091 LCE983091:LCF983091 LMA983091:LMB983091 LVW983091:LVX983091 MFS983091:MFT983091 MPO983091:MPP983091 MZK983091:MZL983091 NJG983091:NJH983091 NTC983091:NTD983091 OCY983091:OCZ983091 OMU983091:OMV983091 OWQ983091:OWR983091 PGM983091:PGN983091 PQI983091:PQJ983091 QAE983091:QAF983091 QKA983091:QKB983091 QTW983091:QTX983091 RDS983091:RDT983091 RNO983091:RNP983091 RXK983091:RXL983091 SHG983091:SHH983091 SRC983091:SRD983091 TAY983091:TAZ983091 TKU983091:TKV983091 TUQ983091:TUR983091 UEM983091:UEN983091 UOI983091:UOJ983091 UYE983091:UYF983091 VIA983091:VIB983091 VRW983091:VRX983091 WBS983091:WBT983091 WLO983091:WLP983091 WVK983091:WVL983091 E194:E195 JA194:JA195 SW194:SW195 ACS194:ACS195 AMO194:AMO195 AWK194:AWK195 BGG194:BGG195 BQC194:BQC195 BZY194:BZY195 CJU194:CJU195 CTQ194:CTQ195 DDM194:DDM195 DNI194:DNI195 DXE194:DXE195 EHA194:EHA195 EQW194:EQW195 FAS194:FAS195 FKO194:FKO195 FUK194:FUK195 GEG194:GEG195 GOC194:GOC195 GXY194:GXY195 HHU194:HHU195 HRQ194:HRQ195 IBM194:IBM195 ILI194:ILI195 IVE194:IVE195 JFA194:JFA195 JOW194:JOW195 JYS194:JYS195 KIO194:KIO195 KSK194:KSK195 LCG194:LCG195 LMC194:LMC195 LVY194:LVY195 MFU194:MFU195 MPQ194:MPQ195 MZM194:MZM195 NJI194:NJI195 NTE194:NTE195 ODA194:ODA195 OMW194:OMW195 OWS194:OWS195 PGO194:PGO195 PQK194:PQK195 QAG194:QAG195 QKC194:QKC195 QTY194:QTY195 RDU194:RDU195 RNQ194:RNQ195 RXM194:RXM195 SHI194:SHI195 SRE194:SRE195 TBA194:TBA195 TKW194:TKW195 TUS194:TUS195 UEO194:UEO195 UOK194:UOK195 UYG194:UYG195 VIC194:VIC195 VRY194:VRY195 WBU194:WBU195 WLQ194:WLQ195 WVM194:WVM195 E65730:E65731 JA65730:JA65731 SW65730:SW65731 ACS65730:ACS65731 AMO65730:AMO65731 AWK65730:AWK65731 BGG65730:BGG65731 BQC65730:BQC65731 BZY65730:BZY65731 CJU65730:CJU65731 CTQ65730:CTQ65731 DDM65730:DDM65731 DNI65730:DNI65731 DXE65730:DXE65731 EHA65730:EHA65731 EQW65730:EQW65731 FAS65730:FAS65731 FKO65730:FKO65731 FUK65730:FUK65731 GEG65730:GEG65731 GOC65730:GOC65731 GXY65730:GXY65731 HHU65730:HHU65731 HRQ65730:HRQ65731 IBM65730:IBM65731 ILI65730:ILI65731 IVE65730:IVE65731 JFA65730:JFA65731 JOW65730:JOW65731 JYS65730:JYS65731 KIO65730:KIO65731 KSK65730:KSK65731 LCG65730:LCG65731 LMC65730:LMC65731 LVY65730:LVY65731 MFU65730:MFU65731 MPQ65730:MPQ65731 MZM65730:MZM65731 NJI65730:NJI65731 NTE65730:NTE65731 ODA65730:ODA65731 OMW65730:OMW65731 OWS65730:OWS65731 PGO65730:PGO65731 PQK65730:PQK65731 QAG65730:QAG65731 QKC65730:QKC65731 QTY65730:QTY65731 RDU65730:RDU65731 RNQ65730:RNQ65731 RXM65730:RXM65731 SHI65730:SHI65731 SRE65730:SRE65731 TBA65730:TBA65731 TKW65730:TKW65731 TUS65730:TUS65731 UEO65730:UEO65731 UOK65730:UOK65731 UYG65730:UYG65731 VIC65730:VIC65731 VRY65730:VRY65731 WBU65730:WBU65731 WLQ65730:WLQ65731 WVM65730:WVM65731 E131266:E131267 JA131266:JA131267 SW131266:SW131267 ACS131266:ACS131267 AMO131266:AMO131267 AWK131266:AWK131267 BGG131266:BGG131267 BQC131266:BQC131267 BZY131266:BZY131267 CJU131266:CJU131267 CTQ131266:CTQ131267 DDM131266:DDM131267 DNI131266:DNI131267 DXE131266:DXE131267 EHA131266:EHA131267 EQW131266:EQW131267 FAS131266:FAS131267 FKO131266:FKO131267 FUK131266:FUK131267 GEG131266:GEG131267 GOC131266:GOC131267 GXY131266:GXY131267 HHU131266:HHU131267 HRQ131266:HRQ131267 IBM131266:IBM131267 ILI131266:ILI131267 IVE131266:IVE131267 JFA131266:JFA131267 JOW131266:JOW131267 JYS131266:JYS131267 KIO131266:KIO131267 KSK131266:KSK131267 LCG131266:LCG131267 LMC131266:LMC131267 LVY131266:LVY131267 MFU131266:MFU131267 MPQ131266:MPQ131267 MZM131266:MZM131267 NJI131266:NJI131267 NTE131266:NTE131267 ODA131266:ODA131267 OMW131266:OMW131267 OWS131266:OWS131267 PGO131266:PGO131267 PQK131266:PQK131267 QAG131266:QAG131267 QKC131266:QKC131267 QTY131266:QTY131267 RDU131266:RDU131267 RNQ131266:RNQ131267 RXM131266:RXM131267 SHI131266:SHI131267 SRE131266:SRE131267 TBA131266:TBA131267 TKW131266:TKW131267 TUS131266:TUS131267 UEO131266:UEO131267 UOK131266:UOK131267 UYG131266:UYG131267 VIC131266:VIC131267 VRY131266:VRY131267 WBU131266:WBU131267 WLQ131266:WLQ131267 WVM131266:WVM131267 E196802:E196803 JA196802:JA196803 SW196802:SW196803 ACS196802:ACS196803 AMO196802:AMO196803 AWK196802:AWK196803 BGG196802:BGG196803 BQC196802:BQC196803 BZY196802:BZY196803 CJU196802:CJU196803 CTQ196802:CTQ196803 DDM196802:DDM196803 DNI196802:DNI196803 DXE196802:DXE196803 EHA196802:EHA196803 EQW196802:EQW196803 FAS196802:FAS196803 FKO196802:FKO196803 FUK196802:FUK196803 GEG196802:GEG196803 GOC196802:GOC196803 GXY196802:GXY196803 HHU196802:HHU196803 HRQ196802:HRQ196803 IBM196802:IBM196803 ILI196802:ILI196803 IVE196802:IVE196803 JFA196802:JFA196803 JOW196802:JOW196803 JYS196802:JYS196803 KIO196802:KIO196803 KSK196802:KSK196803 LCG196802:LCG196803 LMC196802:LMC196803 LVY196802:LVY196803 MFU196802:MFU196803 MPQ196802:MPQ196803 MZM196802:MZM196803 NJI196802:NJI196803 NTE196802:NTE196803 ODA196802:ODA196803 OMW196802:OMW196803 OWS196802:OWS196803 PGO196802:PGO196803 PQK196802:PQK196803 QAG196802:QAG196803 QKC196802:QKC196803 QTY196802:QTY196803 RDU196802:RDU196803 RNQ196802:RNQ196803 RXM196802:RXM196803 SHI196802:SHI196803 SRE196802:SRE196803 TBA196802:TBA196803 TKW196802:TKW196803 TUS196802:TUS196803 UEO196802:UEO196803 UOK196802:UOK196803 UYG196802:UYG196803 VIC196802:VIC196803 VRY196802:VRY196803 WBU196802:WBU196803 WLQ196802:WLQ196803 WVM196802:WVM196803 E262338:E262339 JA262338:JA262339 SW262338:SW262339 ACS262338:ACS262339 AMO262338:AMO262339 AWK262338:AWK262339 BGG262338:BGG262339 BQC262338:BQC262339 BZY262338:BZY262339 CJU262338:CJU262339 CTQ262338:CTQ262339 DDM262338:DDM262339 DNI262338:DNI262339 DXE262338:DXE262339 EHA262338:EHA262339 EQW262338:EQW262339 FAS262338:FAS262339 FKO262338:FKO262339 FUK262338:FUK262339 GEG262338:GEG262339 GOC262338:GOC262339 GXY262338:GXY262339 HHU262338:HHU262339 HRQ262338:HRQ262339 IBM262338:IBM262339 ILI262338:ILI262339 IVE262338:IVE262339 JFA262338:JFA262339 JOW262338:JOW262339 JYS262338:JYS262339 KIO262338:KIO262339 KSK262338:KSK262339 LCG262338:LCG262339 LMC262338:LMC262339 LVY262338:LVY262339 MFU262338:MFU262339 MPQ262338:MPQ262339 MZM262338:MZM262339 NJI262338:NJI262339 NTE262338:NTE262339 ODA262338:ODA262339 OMW262338:OMW262339 OWS262338:OWS262339 PGO262338:PGO262339 PQK262338:PQK262339 QAG262338:QAG262339 QKC262338:QKC262339 QTY262338:QTY262339 RDU262338:RDU262339 RNQ262338:RNQ262339 RXM262338:RXM262339 SHI262338:SHI262339 SRE262338:SRE262339 TBA262338:TBA262339 TKW262338:TKW262339 TUS262338:TUS262339 UEO262338:UEO262339 UOK262338:UOK262339 UYG262338:UYG262339 VIC262338:VIC262339 VRY262338:VRY262339 WBU262338:WBU262339 WLQ262338:WLQ262339 WVM262338:WVM262339 E327874:E327875 JA327874:JA327875 SW327874:SW327875 ACS327874:ACS327875 AMO327874:AMO327875 AWK327874:AWK327875 BGG327874:BGG327875 BQC327874:BQC327875 BZY327874:BZY327875 CJU327874:CJU327875 CTQ327874:CTQ327875 DDM327874:DDM327875 DNI327874:DNI327875 DXE327874:DXE327875 EHA327874:EHA327875 EQW327874:EQW327875 FAS327874:FAS327875 FKO327874:FKO327875 FUK327874:FUK327875 GEG327874:GEG327875 GOC327874:GOC327875 GXY327874:GXY327875 HHU327874:HHU327875 HRQ327874:HRQ327875 IBM327874:IBM327875 ILI327874:ILI327875 IVE327874:IVE327875 JFA327874:JFA327875 JOW327874:JOW327875 JYS327874:JYS327875 KIO327874:KIO327875 KSK327874:KSK327875 LCG327874:LCG327875 LMC327874:LMC327875 LVY327874:LVY327875 MFU327874:MFU327875 MPQ327874:MPQ327875 MZM327874:MZM327875 NJI327874:NJI327875 NTE327874:NTE327875 ODA327874:ODA327875 OMW327874:OMW327875 OWS327874:OWS327875 PGO327874:PGO327875 PQK327874:PQK327875 QAG327874:QAG327875 QKC327874:QKC327875 QTY327874:QTY327875 RDU327874:RDU327875 RNQ327874:RNQ327875 RXM327874:RXM327875 SHI327874:SHI327875 SRE327874:SRE327875 TBA327874:TBA327875 TKW327874:TKW327875 TUS327874:TUS327875 UEO327874:UEO327875 UOK327874:UOK327875 UYG327874:UYG327875 VIC327874:VIC327875 VRY327874:VRY327875 WBU327874:WBU327875 WLQ327874:WLQ327875 WVM327874:WVM327875 E393410:E393411 JA393410:JA393411 SW393410:SW393411 ACS393410:ACS393411 AMO393410:AMO393411 AWK393410:AWK393411 BGG393410:BGG393411 BQC393410:BQC393411 BZY393410:BZY393411 CJU393410:CJU393411 CTQ393410:CTQ393411 DDM393410:DDM393411 DNI393410:DNI393411 DXE393410:DXE393411 EHA393410:EHA393411 EQW393410:EQW393411 FAS393410:FAS393411 FKO393410:FKO393411 FUK393410:FUK393411 GEG393410:GEG393411 GOC393410:GOC393411 GXY393410:GXY393411 HHU393410:HHU393411 HRQ393410:HRQ393411 IBM393410:IBM393411 ILI393410:ILI393411 IVE393410:IVE393411 JFA393410:JFA393411 JOW393410:JOW393411 JYS393410:JYS393411 KIO393410:KIO393411 KSK393410:KSK393411 LCG393410:LCG393411 LMC393410:LMC393411 LVY393410:LVY393411 MFU393410:MFU393411 MPQ393410:MPQ393411 MZM393410:MZM393411 NJI393410:NJI393411 NTE393410:NTE393411 ODA393410:ODA393411 OMW393410:OMW393411 OWS393410:OWS393411 PGO393410:PGO393411 PQK393410:PQK393411 QAG393410:QAG393411 QKC393410:QKC393411 QTY393410:QTY393411 RDU393410:RDU393411 RNQ393410:RNQ393411 RXM393410:RXM393411 SHI393410:SHI393411 SRE393410:SRE393411 TBA393410:TBA393411 TKW393410:TKW393411 TUS393410:TUS393411 UEO393410:UEO393411 UOK393410:UOK393411 UYG393410:UYG393411 VIC393410:VIC393411 VRY393410:VRY393411 WBU393410:WBU393411 WLQ393410:WLQ393411 WVM393410:WVM393411 E458946:E458947 JA458946:JA458947 SW458946:SW458947 ACS458946:ACS458947 AMO458946:AMO458947 AWK458946:AWK458947 BGG458946:BGG458947 BQC458946:BQC458947 BZY458946:BZY458947 CJU458946:CJU458947 CTQ458946:CTQ458947 DDM458946:DDM458947 DNI458946:DNI458947 DXE458946:DXE458947 EHA458946:EHA458947 EQW458946:EQW458947 FAS458946:FAS458947 FKO458946:FKO458947 FUK458946:FUK458947 GEG458946:GEG458947 GOC458946:GOC458947 GXY458946:GXY458947 HHU458946:HHU458947 HRQ458946:HRQ458947 IBM458946:IBM458947 ILI458946:ILI458947 IVE458946:IVE458947 JFA458946:JFA458947 JOW458946:JOW458947 JYS458946:JYS458947 KIO458946:KIO458947 KSK458946:KSK458947 LCG458946:LCG458947 LMC458946:LMC458947 LVY458946:LVY458947 MFU458946:MFU458947 MPQ458946:MPQ458947 MZM458946:MZM458947 NJI458946:NJI458947 NTE458946:NTE458947 ODA458946:ODA458947 OMW458946:OMW458947 OWS458946:OWS458947 PGO458946:PGO458947 PQK458946:PQK458947 QAG458946:QAG458947 QKC458946:QKC458947 QTY458946:QTY458947 RDU458946:RDU458947 RNQ458946:RNQ458947 RXM458946:RXM458947 SHI458946:SHI458947 SRE458946:SRE458947 TBA458946:TBA458947 TKW458946:TKW458947 TUS458946:TUS458947 UEO458946:UEO458947 UOK458946:UOK458947 UYG458946:UYG458947 VIC458946:VIC458947 VRY458946:VRY458947 WBU458946:WBU458947 WLQ458946:WLQ458947 WVM458946:WVM458947 E524482:E524483 JA524482:JA524483 SW524482:SW524483 ACS524482:ACS524483 AMO524482:AMO524483 AWK524482:AWK524483 BGG524482:BGG524483 BQC524482:BQC524483 BZY524482:BZY524483 CJU524482:CJU524483 CTQ524482:CTQ524483 DDM524482:DDM524483 DNI524482:DNI524483 DXE524482:DXE524483 EHA524482:EHA524483 EQW524482:EQW524483 FAS524482:FAS524483 FKO524482:FKO524483 FUK524482:FUK524483 GEG524482:GEG524483 GOC524482:GOC524483 GXY524482:GXY524483 HHU524482:HHU524483 HRQ524482:HRQ524483 IBM524482:IBM524483 ILI524482:ILI524483 IVE524482:IVE524483 JFA524482:JFA524483 JOW524482:JOW524483 JYS524482:JYS524483 KIO524482:KIO524483 KSK524482:KSK524483 LCG524482:LCG524483 LMC524482:LMC524483 LVY524482:LVY524483 MFU524482:MFU524483 MPQ524482:MPQ524483 MZM524482:MZM524483 NJI524482:NJI524483 NTE524482:NTE524483 ODA524482:ODA524483 OMW524482:OMW524483 OWS524482:OWS524483 PGO524482:PGO524483 PQK524482:PQK524483 QAG524482:QAG524483 QKC524482:QKC524483 QTY524482:QTY524483 RDU524482:RDU524483 RNQ524482:RNQ524483 RXM524482:RXM524483 SHI524482:SHI524483 SRE524482:SRE524483 TBA524482:TBA524483 TKW524482:TKW524483 TUS524482:TUS524483 UEO524482:UEO524483 UOK524482:UOK524483 UYG524482:UYG524483 VIC524482:VIC524483 VRY524482:VRY524483 WBU524482:WBU524483 WLQ524482:WLQ524483 WVM524482:WVM524483 E590018:E590019 JA590018:JA590019 SW590018:SW590019 ACS590018:ACS590019 AMO590018:AMO590019 AWK590018:AWK590019 BGG590018:BGG590019 BQC590018:BQC590019 BZY590018:BZY590019 CJU590018:CJU590019 CTQ590018:CTQ590019 DDM590018:DDM590019 DNI590018:DNI590019 DXE590018:DXE590019 EHA590018:EHA590019 EQW590018:EQW590019 FAS590018:FAS590019 FKO590018:FKO590019 FUK590018:FUK590019 GEG590018:GEG590019 GOC590018:GOC590019 GXY590018:GXY590019 HHU590018:HHU590019 HRQ590018:HRQ590019 IBM590018:IBM590019 ILI590018:ILI590019 IVE590018:IVE590019 JFA590018:JFA590019 JOW590018:JOW590019 JYS590018:JYS590019 KIO590018:KIO590019 KSK590018:KSK590019 LCG590018:LCG590019 LMC590018:LMC590019 LVY590018:LVY590019 MFU590018:MFU590019 MPQ590018:MPQ590019 MZM590018:MZM590019 NJI590018:NJI590019 NTE590018:NTE590019 ODA590018:ODA590019 OMW590018:OMW590019 OWS590018:OWS590019 PGO590018:PGO590019 PQK590018:PQK590019 QAG590018:QAG590019 QKC590018:QKC590019 QTY590018:QTY590019 RDU590018:RDU590019 RNQ590018:RNQ590019 RXM590018:RXM590019 SHI590018:SHI590019 SRE590018:SRE590019 TBA590018:TBA590019 TKW590018:TKW590019 TUS590018:TUS590019 UEO590018:UEO590019 UOK590018:UOK590019 UYG590018:UYG590019 VIC590018:VIC590019 VRY590018:VRY590019 WBU590018:WBU590019 WLQ590018:WLQ590019 WVM590018:WVM590019 E655554:E655555 JA655554:JA655555 SW655554:SW655555 ACS655554:ACS655555 AMO655554:AMO655555 AWK655554:AWK655555 BGG655554:BGG655555 BQC655554:BQC655555 BZY655554:BZY655555 CJU655554:CJU655555 CTQ655554:CTQ655555 DDM655554:DDM655555 DNI655554:DNI655555 DXE655554:DXE655555 EHA655554:EHA655555 EQW655554:EQW655555 FAS655554:FAS655555 FKO655554:FKO655555 FUK655554:FUK655555 GEG655554:GEG655555 GOC655554:GOC655555 GXY655554:GXY655555 HHU655554:HHU655555 HRQ655554:HRQ655555 IBM655554:IBM655555 ILI655554:ILI655555 IVE655554:IVE655555 JFA655554:JFA655555 JOW655554:JOW655555 JYS655554:JYS655555 KIO655554:KIO655555 KSK655554:KSK655555 LCG655554:LCG655555 LMC655554:LMC655555 LVY655554:LVY655555 MFU655554:MFU655555 MPQ655554:MPQ655555 MZM655554:MZM655555 NJI655554:NJI655555 NTE655554:NTE655555 ODA655554:ODA655555 OMW655554:OMW655555 OWS655554:OWS655555 PGO655554:PGO655555 PQK655554:PQK655555 QAG655554:QAG655555 QKC655554:QKC655555 QTY655554:QTY655555 RDU655554:RDU655555 RNQ655554:RNQ655555 RXM655554:RXM655555 SHI655554:SHI655555 SRE655554:SRE655555 TBA655554:TBA655555 TKW655554:TKW655555 TUS655554:TUS655555 UEO655554:UEO655555 UOK655554:UOK655555 UYG655554:UYG655555 VIC655554:VIC655555 VRY655554:VRY655555 WBU655554:WBU655555 WLQ655554:WLQ655555 WVM655554:WVM655555 E721090:E721091 JA721090:JA721091 SW721090:SW721091 ACS721090:ACS721091 AMO721090:AMO721091 AWK721090:AWK721091 BGG721090:BGG721091 BQC721090:BQC721091 BZY721090:BZY721091 CJU721090:CJU721091 CTQ721090:CTQ721091 DDM721090:DDM721091 DNI721090:DNI721091 DXE721090:DXE721091 EHA721090:EHA721091 EQW721090:EQW721091 FAS721090:FAS721091 FKO721090:FKO721091 FUK721090:FUK721091 GEG721090:GEG721091 GOC721090:GOC721091 GXY721090:GXY721091 HHU721090:HHU721091 HRQ721090:HRQ721091 IBM721090:IBM721091 ILI721090:ILI721091 IVE721090:IVE721091 JFA721090:JFA721091 JOW721090:JOW721091 JYS721090:JYS721091 KIO721090:KIO721091 KSK721090:KSK721091 LCG721090:LCG721091 LMC721090:LMC721091 LVY721090:LVY721091 MFU721090:MFU721091 MPQ721090:MPQ721091 MZM721090:MZM721091 NJI721090:NJI721091 NTE721090:NTE721091 ODA721090:ODA721091 OMW721090:OMW721091 OWS721090:OWS721091 PGO721090:PGO721091 PQK721090:PQK721091 QAG721090:QAG721091 QKC721090:QKC721091 QTY721090:QTY721091 RDU721090:RDU721091 RNQ721090:RNQ721091 RXM721090:RXM721091 SHI721090:SHI721091 SRE721090:SRE721091 TBA721090:TBA721091 TKW721090:TKW721091 TUS721090:TUS721091 UEO721090:UEO721091 UOK721090:UOK721091 UYG721090:UYG721091 VIC721090:VIC721091 VRY721090:VRY721091 WBU721090:WBU721091 WLQ721090:WLQ721091 WVM721090:WVM721091 E786626:E786627 JA786626:JA786627 SW786626:SW786627 ACS786626:ACS786627 AMO786626:AMO786627 AWK786626:AWK786627 BGG786626:BGG786627 BQC786626:BQC786627 BZY786626:BZY786627 CJU786626:CJU786627 CTQ786626:CTQ786627 DDM786626:DDM786627 DNI786626:DNI786627 DXE786626:DXE786627 EHA786626:EHA786627 EQW786626:EQW786627 FAS786626:FAS786627 FKO786626:FKO786627 FUK786626:FUK786627 GEG786626:GEG786627 GOC786626:GOC786627 GXY786626:GXY786627 HHU786626:HHU786627 HRQ786626:HRQ786627 IBM786626:IBM786627 ILI786626:ILI786627 IVE786626:IVE786627 JFA786626:JFA786627 JOW786626:JOW786627 JYS786626:JYS786627 KIO786626:KIO786627 KSK786626:KSK786627 LCG786626:LCG786627 LMC786626:LMC786627 LVY786626:LVY786627 MFU786626:MFU786627 MPQ786626:MPQ786627 MZM786626:MZM786627 NJI786626:NJI786627 NTE786626:NTE786627 ODA786626:ODA786627 OMW786626:OMW786627 OWS786626:OWS786627 PGO786626:PGO786627 PQK786626:PQK786627 QAG786626:QAG786627 QKC786626:QKC786627 QTY786626:QTY786627 RDU786626:RDU786627 RNQ786626:RNQ786627 RXM786626:RXM786627 SHI786626:SHI786627 SRE786626:SRE786627 TBA786626:TBA786627 TKW786626:TKW786627 TUS786626:TUS786627 UEO786626:UEO786627 UOK786626:UOK786627 UYG786626:UYG786627 VIC786626:VIC786627 VRY786626:VRY786627 WBU786626:WBU786627 WLQ786626:WLQ786627 WVM786626:WVM786627 E852162:E852163 JA852162:JA852163 SW852162:SW852163 ACS852162:ACS852163 AMO852162:AMO852163 AWK852162:AWK852163 BGG852162:BGG852163 BQC852162:BQC852163 BZY852162:BZY852163 CJU852162:CJU852163 CTQ852162:CTQ852163 DDM852162:DDM852163 DNI852162:DNI852163 DXE852162:DXE852163 EHA852162:EHA852163 EQW852162:EQW852163 FAS852162:FAS852163 FKO852162:FKO852163 FUK852162:FUK852163 GEG852162:GEG852163 GOC852162:GOC852163 GXY852162:GXY852163 HHU852162:HHU852163 HRQ852162:HRQ852163 IBM852162:IBM852163 ILI852162:ILI852163 IVE852162:IVE852163 JFA852162:JFA852163 JOW852162:JOW852163 JYS852162:JYS852163 KIO852162:KIO852163 KSK852162:KSK852163 LCG852162:LCG852163 LMC852162:LMC852163 LVY852162:LVY852163 MFU852162:MFU852163 MPQ852162:MPQ852163 MZM852162:MZM852163 NJI852162:NJI852163 NTE852162:NTE852163 ODA852162:ODA852163 OMW852162:OMW852163 OWS852162:OWS852163 PGO852162:PGO852163 PQK852162:PQK852163 QAG852162:QAG852163 QKC852162:QKC852163 QTY852162:QTY852163 RDU852162:RDU852163 RNQ852162:RNQ852163 RXM852162:RXM852163 SHI852162:SHI852163 SRE852162:SRE852163 TBA852162:TBA852163 TKW852162:TKW852163 TUS852162:TUS852163 UEO852162:UEO852163 UOK852162:UOK852163 UYG852162:UYG852163 VIC852162:VIC852163 VRY852162:VRY852163 WBU852162:WBU852163 WLQ852162:WLQ852163 WVM852162:WVM852163 E917698:E917699 JA917698:JA917699 SW917698:SW917699 ACS917698:ACS917699 AMO917698:AMO917699 AWK917698:AWK917699 BGG917698:BGG917699 BQC917698:BQC917699 BZY917698:BZY917699 CJU917698:CJU917699 CTQ917698:CTQ917699 DDM917698:DDM917699 DNI917698:DNI917699 DXE917698:DXE917699 EHA917698:EHA917699 EQW917698:EQW917699 FAS917698:FAS917699 FKO917698:FKO917699 FUK917698:FUK917699 GEG917698:GEG917699 GOC917698:GOC917699 GXY917698:GXY917699 HHU917698:HHU917699 HRQ917698:HRQ917699 IBM917698:IBM917699 ILI917698:ILI917699 IVE917698:IVE917699 JFA917698:JFA917699 JOW917698:JOW917699 JYS917698:JYS917699 KIO917698:KIO917699 KSK917698:KSK917699 LCG917698:LCG917699 LMC917698:LMC917699 LVY917698:LVY917699 MFU917698:MFU917699 MPQ917698:MPQ917699 MZM917698:MZM917699 NJI917698:NJI917699 NTE917698:NTE917699 ODA917698:ODA917699 OMW917698:OMW917699 OWS917698:OWS917699 PGO917698:PGO917699 PQK917698:PQK917699 QAG917698:QAG917699 QKC917698:QKC917699 QTY917698:QTY917699 RDU917698:RDU917699 RNQ917698:RNQ917699 RXM917698:RXM917699 SHI917698:SHI917699 SRE917698:SRE917699 TBA917698:TBA917699 TKW917698:TKW917699 TUS917698:TUS917699 UEO917698:UEO917699 UOK917698:UOK917699 UYG917698:UYG917699 VIC917698:VIC917699 VRY917698:VRY917699 WBU917698:WBU917699 WLQ917698:WLQ917699 WVM917698:WVM917699 E983234:E983235 JA983234:JA983235 SW983234:SW983235 ACS983234:ACS983235 AMO983234:AMO983235 AWK983234:AWK983235 BGG983234:BGG983235 BQC983234:BQC983235 BZY983234:BZY983235 CJU983234:CJU983235 CTQ983234:CTQ983235 DDM983234:DDM983235 DNI983234:DNI983235 DXE983234:DXE983235 EHA983234:EHA983235 EQW983234:EQW983235 FAS983234:FAS983235 FKO983234:FKO983235 FUK983234:FUK983235 GEG983234:GEG983235 GOC983234:GOC983235 GXY983234:GXY983235 HHU983234:HHU983235 HRQ983234:HRQ983235 IBM983234:IBM983235 ILI983234:ILI983235 IVE983234:IVE983235 JFA983234:JFA983235 JOW983234:JOW983235 JYS983234:JYS983235 KIO983234:KIO983235 KSK983234:KSK983235 LCG983234:LCG983235 LMC983234:LMC983235 LVY983234:LVY983235 MFU983234:MFU983235 MPQ983234:MPQ983235 MZM983234:MZM983235 NJI983234:NJI983235 NTE983234:NTE983235 ODA983234:ODA983235 OMW983234:OMW983235 OWS983234:OWS983235 PGO983234:PGO983235 PQK983234:PQK983235 QAG983234:QAG983235 QKC983234:QKC983235 QTY983234:QTY983235 RDU983234:RDU983235 RNQ983234:RNQ983235 RXM983234:RXM983235 SHI983234:SHI983235 SRE983234:SRE983235 TBA983234:TBA983235 TKW983234:TKW983235 TUS983234:TUS983235 UEO983234:UEO983235 UOK983234:UOK983235 UYG983234:UYG983235 VIC983234:VIC983235 VRY983234:VRY983235 WBU983234:WBU983235 WLQ983234:WLQ983235 WVM983234:WVM983235 C67:D67 IY67:IZ67 SU67:SV67 ACQ67:ACR67 AMM67:AMN67 AWI67:AWJ67 BGE67:BGF67 BQA67:BQB67 BZW67:BZX67 CJS67:CJT67 CTO67:CTP67 DDK67:DDL67 DNG67:DNH67 DXC67:DXD67 EGY67:EGZ67 EQU67:EQV67 FAQ67:FAR67 FKM67:FKN67 FUI67:FUJ67 GEE67:GEF67 GOA67:GOB67 GXW67:GXX67 HHS67:HHT67 HRO67:HRP67 IBK67:IBL67 ILG67:ILH67 IVC67:IVD67 JEY67:JEZ67 JOU67:JOV67 JYQ67:JYR67 KIM67:KIN67 KSI67:KSJ67 LCE67:LCF67 LMA67:LMB67 LVW67:LVX67 MFS67:MFT67 MPO67:MPP67 MZK67:MZL67 NJG67:NJH67 NTC67:NTD67 OCY67:OCZ67 OMU67:OMV67 OWQ67:OWR67 PGM67:PGN67 PQI67:PQJ67 QAE67:QAF67 QKA67:QKB67 QTW67:QTX67 RDS67:RDT67 RNO67:RNP67 RXK67:RXL67 SHG67:SHH67 SRC67:SRD67 TAY67:TAZ67 TKU67:TKV67 TUQ67:TUR67 UEM67:UEN67 UOI67:UOJ67 UYE67:UYF67 VIA67:VIB67 VRW67:VRX67 WBS67:WBT67 WLO67:WLP67 WVK67:WVL67 C65603:D65603 IY65603:IZ65603 SU65603:SV65603 ACQ65603:ACR65603 AMM65603:AMN65603 AWI65603:AWJ65603 BGE65603:BGF65603 BQA65603:BQB65603 BZW65603:BZX65603 CJS65603:CJT65603 CTO65603:CTP65603 DDK65603:DDL65603 DNG65603:DNH65603 DXC65603:DXD65603 EGY65603:EGZ65603 EQU65603:EQV65603 FAQ65603:FAR65603 FKM65603:FKN65603 FUI65603:FUJ65603 GEE65603:GEF65603 GOA65603:GOB65603 GXW65603:GXX65603 HHS65603:HHT65603 HRO65603:HRP65603 IBK65603:IBL65603 ILG65603:ILH65603 IVC65603:IVD65603 JEY65603:JEZ65603 JOU65603:JOV65603 JYQ65603:JYR65603 KIM65603:KIN65603 KSI65603:KSJ65603 LCE65603:LCF65603 LMA65603:LMB65603 LVW65603:LVX65603 MFS65603:MFT65603 MPO65603:MPP65603 MZK65603:MZL65603 NJG65603:NJH65603 NTC65603:NTD65603 OCY65603:OCZ65603 OMU65603:OMV65603 OWQ65603:OWR65603 PGM65603:PGN65603 PQI65603:PQJ65603 QAE65603:QAF65603 QKA65603:QKB65603 QTW65603:QTX65603 RDS65603:RDT65603 RNO65603:RNP65603 RXK65603:RXL65603 SHG65603:SHH65603 SRC65603:SRD65603 TAY65603:TAZ65603 TKU65603:TKV65603 TUQ65603:TUR65603 UEM65603:UEN65603 UOI65603:UOJ65603 UYE65603:UYF65603 VIA65603:VIB65603 VRW65603:VRX65603 WBS65603:WBT65603 WLO65603:WLP65603 WVK65603:WVL65603 C131139:D131139 IY131139:IZ131139 SU131139:SV131139 ACQ131139:ACR131139 AMM131139:AMN131139 AWI131139:AWJ131139 BGE131139:BGF131139 BQA131139:BQB131139 BZW131139:BZX131139 CJS131139:CJT131139 CTO131139:CTP131139 DDK131139:DDL131139 DNG131139:DNH131139 DXC131139:DXD131139 EGY131139:EGZ131139 EQU131139:EQV131139 FAQ131139:FAR131139 FKM131139:FKN131139 FUI131139:FUJ131139 GEE131139:GEF131139 GOA131139:GOB131139 GXW131139:GXX131139 HHS131139:HHT131139 HRO131139:HRP131139 IBK131139:IBL131139 ILG131139:ILH131139 IVC131139:IVD131139 JEY131139:JEZ131139 JOU131139:JOV131139 JYQ131139:JYR131139 KIM131139:KIN131139 KSI131139:KSJ131139 LCE131139:LCF131139 LMA131139:LMB131139 LVW131139:LVX131139 MFS131139:MFT131139 MPO131139:MPP131139 MZK131139:MZL131139 NJG131139:NJH131139 NTC131139:NTD131139 OCY131139:OCZ131139 OMU131139:OMV131139 OWQ131139:OWR131139 PGM131139:PGN131139 PQI131139:PQJ131139 QAE131139:QAF131139 QKA131139:QKB131139 QTW131139:QTX131139 RDS131139:RDT131139 RNO131139:RNP131139 RXK131139:RXL131139 SHG131139:SHH131139 SRC131139:SRD131139 TAY131139:TAZ131139 TKU131139:TKV131139 TUQ131139:TUR131139 UEM131139:UEN131139 UOI131139:UOJ131139 UYE131139:UYF131139 VIA131139:VIB131139 VRW131139:VRX131139 WBS131139:WBT131139 WLO131139:WLP131139 WVK131139:WVL131139 C196675:D196675 IY196675:IZ196675 SU196675:SV196675 ACQ196675:ACR196675 AMM196675:AMN196675 AWI196675:AWJ196675 BGE196675:BGF196675 BQA196675:BQB196675 BZW196675:BZX196675 CJS196675:CJT196675 CTO196675:CTP196675 DDK196675:DDL196675 DNG196675:DNH196675 DXC196675:DXD196675 EGY196675:EGZ196675 EQU196675:EQV196675 FAQ196675:FAR196675 FKM196675:FKN196675 FUI196675:FUJ196675 GEE196675:GEF196675 GOA196675:GOB196675 GXW196675:GXX196675 HHS196675:HHT196675 HRO196675:HRP196675 IBK196675:IBL196675 ILG196675:ILH196675 IVC196675:IVD196675 JEY196675:JEZ196675 JOU196675:JOV196675 JYQ196675:JYR196675 KIM196675:KIN196675 KSI196675:KSJ196675 LCE196675:LCF196675 LMA196675:LMB196675 LVW196675:LVX196675 MFS196675:MFT196675 MPO196675:MPP196675 MZK196675:MZL196675 NJG196675:NJH196675 NTC196675:NTD196675 OCY196675:OCZ196675 OMU196675:OMV196675 OWQ196675:OWR196675 PGM196675:PGN196675 PQI196675:PQJ196675 QAE196675:QAF196675 QKA196675:QKB196675 QTW196675:QTX196675 RDS196675:RDT196675 RNO196675:RNP196675 RXK196675:RXL196675 SHG196675:SHH196675 SRC196675:SRD196675 TAY196675:TAZ196675 TKU196675:TKV196675 TUQ196675:TUR196675 UEM196675:UEN196675 UOI196675:UOJ196675 UYE196675:UYF196675 VIA196675:VIB196675 VRW196675:VRX196675 WBS196675:WBT196675 WLO196675:WLP196675 WVK196675:WVL196675 C262211:D262211 IY262211:IZ262211 SU262211:SV262211 ACQ262211:ACR262211 AMM262211:AMN262211 AWI262211:AWJ262211 BGE262211:BGF262211 BQA262211:BQB262211 BZW262211:BZX262211 CJS262211:CJT262211 CTO262211:CTP262211 DDK262211:DDL262211 DNG262211:DNH262211 DXC262211:DXD262211 EGY262211:EGZ262211 EQU262211:EQV262211 FAQ262211:FAR262211 FKM262211:FKN262211 FUI262211:FUJ262211 GEE262211:GEF262211 GOA262211:GOB262211 GXW262211:GXX262211 HHS262211:HHT262211 HRO262211:HRP262211 IBK262211:IBL262211 ILG262211:ILH262211 IVC262211:IVD262211 JEY262211:JEZ262211 JOU262211:JOV262211 JYQ262211:JYR262211 KIM262211:KIN262211 KSI262211:KSJ262211 LCE262211:LCF262211 LMA262211:LMB262211 LVW262211:LVX262211 MFS262211:MFT262211 MPO262211:MPP262211 MZK262211:MZL262211 NJG262211:NJH262211 NTC262211:NTD262211 OCY262211:OCZ262211 OMU262211:OMV262211 OWQ262211:OWR262211 PGM262211:PGN262211 PQI262211:PQJ262211 QAE262211:QAF262211 QKA262211:QKB262211 QTW262211:QTX262211 RDS262211:RDT262211 RNO262211:RNP262211 RXK262211:RXL262211 SHG262211:SHH262211 SRC262211:SRD262211 TAY262211:TAZ262211 TKU262211:TKV262211 TUQ262211:TUR262211 UEM262211:UEN262211 UOI262211:UOJ262211 UYE262211:UYF262211 VIA262211:VIB262211 VRW262211:VRX262211 WBS262211:WBT262211 WLO262211:WLP262211 WVK262211:WVL262211 C327747:D327747 IY327747:IZ327747 SU327747:SV327747 ACQ327747:ACR327747 AMM327747:AMN327747 AWI327747:AWJ327747 BGE327747:BGF327747 BQA327747:BQB327747 BZW327747:BZX327747 CJS327747:CJT327747 CTO327747:CTP327747 DDK327747:DDL327747 DNG327747:DNH327747 DXC327747:DXD327747 EGY327747:EGZ327747 EQU327747:EQV327747 FAQ327747:FAR327747 FKM327747:FKN327747 FUI327747:FUJ327747 GEE327747:GEF327747 GOA327747:GOB327747 GXW327747:GXX327747 HHS327747:HHT327747 HRO327747:HRP327747 IBK327747:IBL327747 ILG327747:ILH327747 IVC327747:IVD327747 JEY327747:JEZ327747 JOU327747:JOV327747 JYQ327747:JYR327747 KIM327747:KIN327747 KSI327747:KSJ327747 LCE327747:LCF327747 LMA327747:LMB327747 LVW327747:LVX327747 MFS327747:MFT327747 MPO327747:MPP327747 MZK327747:MZL327747 NJG327747:NJH327747 NTC327747:NTD327747 OCY327747:OCZ327747 OMU327747:OMV327747 OWQ327747:OWR327747 PGM327747:PGN327747 PQI327747:PQJ327747 QAE327747:QAF327747 QKA327747:QKB327747 QTW327747:QTX327747 RDS327747:RDT327747 RNO327747:RNP327747 RXK327747:RXL327747 SHG327747:SHH327747 SRC327747:SRD327747 TAY327747:TAZ327747 TKU327747:TKV327747 TUQ327747:TUR327747 UEM327747:UEN327747 UOI327747:UOJ327747 UYE327747:UYF327747 VIA327747:VIB327747 VRW327747:VRX327747 WBS327747:WBT327747 WLO327747:WLP327747 WVK327747:WVL327747 C393283:D393283 IY393283:IZ393283 SU393283:SV393283 ACQ393283:ACR393283 AMM393283:AMN393283 AWI393283:AWJ393283 BGE393283:BGF393283 BQA393283:BQB393283 BZW393283:BZX393283 CJS393283:CJT393283 CTO393283:CTP393283 DDK393283:DDL393283 DNG393283:DNH393283 DXC393283:DXD393283 EGY393283:EGZ393283 EQU393283:EQV393283 FAQ393283:FAR393283 FKM393283:FKN393283 FUI393283:FUJ393283 GEE393283:GEF393283 GOA393283:GOB393283 GXW393283:GXX393283 HHS393283:HHT393283 HRO393283:HRP393283 IBK393283:IBL393283 ILG393283:ILH393283 IVC393283:IVD393283 JEY393283:JEZ393283 JOU393283:JOV393283 JYQ393283:JYR393283 KIM393283:KIN393283 KSI393283:KSJ393283 LCE393283:LCF393283 LMA393283:LMB393283 LVW393283:LVX393283 MFS393283:MFT393283 MPO393283:MPP393283 MZK393283:MZL393283 NJG393283:NJH393283 NTC393283:NTD393283 OCY393283:OCZ393283 OMU393283:OMV393283 OWQ393283:OWR393283 PGM393283:PGN393283 PQI393283:PQJ393283 QAE393283:QAF393283 QKA393283:QKB393283 QTW393283:QTX393283 RDS393283:RDT393283 RNO393283:RNP393283 RXK393283:RXL393283 SHG393283:SHH393283 SRC393283:SRD393283 TAY393283:TAZ393283 TKU393283:TKV393283 TUQ393283:TUR393283 UEM393283:UEN393283 UOI393283:UOJ393283 UYE393283:UYF393283 VIA393283:VIB393283 VRW393283:VRX393283 WBS393283:WBT393283 WLO393283:WLP393283 WVK393283:WVL393283 C458819:D458819 IY458819:IZ458819 SU458819:SV458819 ACQ458819:ACR458819 AMM458819:AMN458819 AWI458819:AWJ458819 BGE458819:BGF458819 BQA458819:BQB458819 BZW458819:BZX458819 CJS458819:CJT458819 CTO458819:CTP458819 DDK458819:DDL458819 DNG458819:DNH458819 DXC458819:DXD458819 EGY458819:EGZ458819 EQU458819:EQV458819 FAQ458819:FAR458819 FKM458819:FKN458819 FUI458819:FUJ458819 GEE458819:GEF458819 GOA458819:GOB458819 GXW458819:GXX458819 HHS458819:HHT458819 HRO458819:HRP458819 IBK458819:IBL458819 ILG458819:ILH458819 IVC458819:IVD458819 JEY458819:JEZ458819 JOU458819:JOV458819 JYQ458819:JYR458819 KIM458819:KIN458819 KSI458819:KSJ458819 LCE458819:LCF458819 LMA458819:LMB458819 LVW458819:LVX458819 MFS458819:MFT458819 MPO458819:MPP458819 MZK458819:MZL458819 NJG458819:NJH458819 NTC458819:NTD458819 OCY458819:OCZ458819 OMU458819:OMV458819 OWQ458819:OWR458819 PGM458819:PGN458819 PQI458819:PQJ458819 QAE458819:QAF458819 QKA458819:QKB458819 QTW458819:QTX458819 RDS458819:RDT458819 RNO458819:RNP458819 RXK458819:RXL458819 SHG458819:SHH458819 SRC458819:SRD458819 TAY458819:TAZ458819 TKU458819:TKV458819 TUQ458819:TUR458819 UEM458819:UEN458819 UOI458819:UOJ458819 UYE458819:UYF458819 VIA458819:VIB458819 VRW458819:VRX458819 WBS458819:WBT458819 WLO458819:WLP458819 WVK458819:WVL458819 C524355:D524355 IY524355:IZ524355 SU524355:SV524355 ACQ524355:ACR524355 AMM524355:AMN524355 AWI524355:AWJ524355 BGE524355:BGF524355 BQA524355:BQB524355 BZW524355:BZX524355 CJS524355:CJT524355 CTO524355:CTP524355 DDK524355:DDL524355 DNG524355:DNH524355 DXC524355:DXD524355 EGY524355:EGZ524355 EQU524355:EQV524355 FAQ524355:FAR524355 FKM524355:FKN524355 FUI524355:FUJ524355 GEE524355:GEF524355 GOA524355:GOB524355 GXW524355:GXX524355 HHS524355:HHT524355 HRO524355:HRP524355 IBK524355:IBL524355 ILG524355:ILH524355 IVC524355:IVD524355 JEY524355:JEZ524355 JOU524355:JOV524355 JYQ524355:JYR524355 KIM524355:KIN524355 KSI524355:KSJ524355 LCE524355:LCF524355 LMA524355:LMB524355 LVW524355:LVX524355 MFS524355:MFT524355 MPO524355:MPP524355 MZK524355:MZL524355 NJG524355:NJH524355 NTC524355:NTD524355 OCY524355:OCZ524355 OMU524355:OMV524355 OWQ524355:OWR524355 PGM524355:PGN524355 PQI524355:PQJ524355 QAE524355:QAF524355 QKA524355:QKB524355 QTW524355:QTX524355 RDS524355:RDT524355 RNO524355:RNP524355 RXK524355:RXL524355 SHG524355:SHH524355 SRC524355:SRD524355 TAY524355:TAZ524355 TKU524355:TKV524355 TUQ524355:TUR524355 UEM524355:UEN524355 UOI524355:UOJ524355 UYE524355:UYF524355 VIA524355:VIB524355 VRW524355:VRX524355 WBS524355:WBT524355 WLO524355:WLP524355 WVK524355:WVL524355 C589891:D589891 IY589891:IZ589891 SU589891:SV589891 ACQ589891:ACR589891 AMM589891:AMN589891 AWI589891:AWJ589891 BGE589891:BGF589891 BQA589891:BQB589891 BZW589891:BZX589891 CJS589891:CJT589891 CTO589891:CTP589891 DDK589891:DDL589891 DNG589891:DNH589891 DXC589891:DXD589891 EGY589891:EGZ589891 EQU589891:EQV589891 FAQ589891:FAR589891 FKM589891:FKN589891 FUI589891:FUJ589891 GEE589891:GEF589891 GOA589891:GOB589891 GXW589891:GXX589891 HHS589891:HHT589891 HRO589891:HRP589891 IBK589891:IBL589891 ILG589891:ILH589891 IVC589891:IVD589891 JEY589891:JEZ589891 JOU589891:JOV589891 JYQ589891:JYR589891 KIM589891:KIN589891 KSI589891:KSJ589891 LCE589891:LCF589891 LMA589891:LMB589891 LVW589891:LVX589891 MFS589891:MFT589891 MPO589891:MPP589891 MZK589891:MZL589891 NJG589891:NJH589891 NTC589891:NTD589891 OCY589891:OCZ589891 OMU589891:OMV589891 OWQ589891:OWR589891 PGM589891:PGN589891 PQI589891:PQJ589891 QAE589891:QAF589891 QKA589891:QKB589891 QTW589891:QTX589891 RDS589891:RDT589891 RNO589891:RNP589891 RXK589891:RXL589891 SHG589891:SHH589891 SRC589891:SRD589891 TAY589891:TAZ589891 TKU589891:TKV589891 TUQ589891:TUR589891 UEM589891:UEN589891 UOI589891:UOJ589891 UYE589891:UYF589891 VIA589891:VIB589891 VRW589891:VRX589891 WBS589891:WBT589891 WLO589891:WLP589891 WVK589891:WVL589891 C655427:D655427 IY655427:IZ655427 SU655427:SV655427 ACQ655427:ACR655427 AMM655427:AMN655427 AWI655427:AWJ655427 BGE655427:BGF655427 BQA655427:BQB655427 BZW655427:BZX655427 CJS655427:CJT655427 CTO655427:CTP655427 DDK655427:DDL655427 DNG655427:DNH655427 DXC655427:DXD655427 EGY655427:EGZ655427 EQU655427:EQV655427 FAQ655427:FAR655427 FKM655427:FKN655427 FUI655427:FUJ655427 GEE655427:GEF655427 GOA655427:GOB655427 GXW655427:GXX655427 HHS655427:HHT655427 HRO655427:HRP655427 IBK655427:IBL655427 ILG655427:ILH655427 IVC655427:IVD655427 JEY655427:JEZ655427 JOU655427:JOV655427 JYQ655427:JYR655427 KIM655427:KIN655427 KSI655427:KSJ655427 LCE655427:LCF655427 LMA655427:LMB655427 LVW655427:LVX655427 MFS655427:MFT655427 MPO655427:MPP655427 MZK655427:MZL655427 NJG655427:NJH655427 NTC655427:NTD655427 OCY655427:OCZ655427 OMU655427:OMV655427 OWQ655427:OWR655427 PGM655427:PGN655427 PQI655427:PQJ655427 QAE655427:QAF655427 QKA655427:QKB655427 QTW655427:QTX655427 RDS655427:RDT655427 RNO655427:RNP655427 RXK655427:RXL655427 SHG655427:SHH655427 SRC655427:SRD655427 TAY655427:TAZ655427 TKU655427:TKV655427 TUQ655427:TUR655427 UEM655427:UEN655427 UOI655427:UOJ655427 UYE655427:UYF655427 VIA655427:VIB655427 VRW655427:VRX655427 WBS655427:WBT655427 WLO655427:WLP655427 WVK655427:WVL655427 C720963:D720963 IY720963:IZ720963 SU720963:SV720963 ACQ720963:ACR720963 AMM720963:AMN720963 AWI720963:AWJ720963 BGE720963:BGF720963 BQA720963:BQB720963 BZW720963:BZX720963 CJS720963:CJT720963 CTO720963:CTP720963 DDK720963:DDL720963 DNG720963:DNH720963 DXC720963:DXD720963 EGY720963:EGZ720963 EQU720963:EQV720963 FAQ720963:FAR720963 FKM720963:FKN720963 FUI720963:FUJ720963 GEE720963:GEF720963 GOA720963:GOB720963 GXW720963:GXX720963 HHS720963:HHT720963 HRO720963:HRP720963 IBK720963:IBL720963 ILG720963:ILH720963 IVC720963:IVD720963 JEY720963:JEZ720963 JOU720963:JOV720963 JYQ720963:JYR720963 KIM720963:KIN720963 KSI720963:KSJ720963 LCE720963:LCF720963 LMA720963:LMB720963 LVW720963:LVX720963 MFS720963:MFT720963 MPO720963:MPP720963 MZK720963:MZL720963 NJG720963:NJH720963 NTC720963:NTD720963 OCY720963:OCZ720963 OMU720963:OMV720963 OWQ720963:OWR720963 PGM720963:PGN720963 PQI720963:PQJ720963 QAE720963:QAF720963 QKA720963:QKB720963 QTW720963:QTX720963 RDS720963:RDT720963 RNO720963:RNP720963 RXK720963:RXL720963 SHG720963:SHH720963 SRC720963:SRD720963 TAY720963:TAZ720963 TKU720963:TKV720963 TUQ720963:TUR720963 UEM720963:UEN720963 UOI720963:UOJ720963 UYE720963:UYF720963 VIA720963:VIB720963 VRW720963:VRX720963 WBS720963:WBT720963 WLO720963:WLP720963 WVK720963:WVL720963 C786499:D786499 IY786499:IZ786499 SU786499:SV786499 ACQ786499:ACR786499 AMM786499:AMN786499 AWI786499:AWJ786499 BGE786499:BGF786499 BQA786499:BQB786499 BZW786499:BZX786499 CJS786499:CJT786499 CTO786499:CTP786499 DDK786499:DDL786499 DNG786499:DNH786499 DXC786499:DXD786499 EGY786499:EGZ786499 EQU786499:EQV786499 FAQ786499:FAR786499 FKM786499:FKN786499 FUI786499:FUJ786499 GEE786499:GEF786499 GOA786499:GOB786499 GXW786499:GXX786499 HHS786499:HHT786499 HRO786499:HRP786499 IBK786499:IBL786499 ILG786499:ILH786499 IVC786499:IVD786499 JEY786499:JEZ786499 JOU786499:JOV786499 JYQ786499:JYR786499 KIM786499:KIN786499 KSI786499:KSJ786499 LCE786499:LCF786499 LMA786499:LMB786499 LVW786499:LVX786499 MFS786499:MFT786499 MPO786499:MPP786499 MZK786499:MZL786499 NJG786499:NJH786499 NTC786499:NTD786499 OCY786499:OCZ786499 OMU786499:OMV786499 OWQ786499:OWR786499 PGM786499:PGN786499 PQI786499:PQJ786499 QAE786499:QAF786499 QKA786499:QKB786499 QTW786499:QTX786499 RDS786499:RDT786499 RNO786499:RNP786499 RXK786499:RXL786499 SHG786499:SHH786499 SRC786499:SRD786499 TAY786499:TAZ786499 TKU786499:TKV786499 TUQ786499:TUR786499 UEM786499:UEN786499 UOI786499:UOJ786499 UYE786499:UYF786499 VIA786499:VIB786499 VRW786499:VRX786499 WBS786499:WBT786499 WLO786499:WLP786499 WVK786499:WVL786499 C852035:D852035 IY852035:IZ852035 SU852035:SV852035 ACQ852035:ACR852035 AMM852035:AMN852035 AWI852035:AWJ852035 BGE852035:BGF852035 BQA852035:BQB852035 BZW852035:BZX852035 CJS852035:CJT852035 CTO852035:CTP852035 DDK852035:DDL852035 DNG852035:DNH852035 DXC852035:DXD852035 EGY852035:EGZ852035 EQU852035:EQV852035 FAQ852035:FAR852035 FKM852035:FKN852035 FUI852035:FUJ852035 GEE852035:GEF852035 GOA852035:GOB852035 GXW852035:GXX852035 HHS852035:HHT852035 HRO852035:HRP852035 IBK852035:IBL852035 ILG852035:ILH852035 IVC852035:IVD852035 JEY852035:JEZ852035 JOU852035:JOV852035 JYQ852035:JYR852035 KIM852035:KIN852035 KSI852035:KSJ852035 LCE852035:LCF852035 LMA852035:LMB852035 LVW852035:LVX852035 MFS852035:MFT852035 MPO852035:MPP852035 MZK852035:MZL852035 NJG852035:NJH852035 NTC852035:NTD852035 OCY852035:OCZ852035 OMU852035:OMV852035 OWQ852035:OWR852035 PGM852035:PGN852035 PQI852035:PQJ852035 QAE852035:QAF852035 QKA852035:QKB852035 QTW852035:QTX852035 RDS852035:RDT852035 RNO852035:RNP852035 RXK852035:RXL852035 SHG852035:SHH852035 SRC852035:SRD852035 TAY852035:TAZ852035 TKU852035:TKV852035 TUQ852035:TUR852035 UEM852035:UEN852035 UOI852035:UOJ852035 UYE852035:UYF852035 VIA852035:VIB852035 VRW852035:VRX852035 WBS852035:WBT852035 WLO852035:WLP852035 WVK852035:WVL852035 C917571:D917571 IY917571:IZ917571 SU917571:SV917571 ACQ917571:ACR917571 AMM917571:AMN917571 AWI917571:AWJ917571 BGE917571:BGF917571 BQA917571:BQB917571 BZW917571:BZX917571 CJS917571:CJT917571 CTO917571:CTP917571 DDK917571:DDL917571 DNG917571:DNH917571 DXC917571:DXD917571 EGY917571:EGZ917571 EQU917571:EQV917571 FAQ917571:FAR917571 FKM917571:FKN917571 FUI917571:FUJ917571 GEE917571:GEF917571 GOA917571:GOB917571 GXW917571:GXX917571 HHS917571:HHT917571 HRO917571:HRP917571 IBK917571:IBL917571 ILG917571:ILH917571 IVC917571:IVD917571 JEY917571:JEZ917571 JOU917571:JOV917571 JYQ917571:JYR917571 KIM917571:KIN917571 KSI917571:KSJ917571 LCE917571:LCF917571 LMA917571:LMB917571 LVW917571:LVX917571 MFS917571:MFT917571 MPO917571:MPP917571 MZK917571:MZL917571 NJG917571:NJH917571 NTC917571:NTD917571 OCY917571:OCZ917571 OMU917571:OMV917571 OWQ917571:OWR917571 PGM917571:PGN917571 PQI917571:PQJ917571 QAE917571:QAF917571 QKA917571:QKB917571 QTW917571:QTX917571 RDS917571:RDT917571 RNO917571:RNP917571 RXK917571:RXL917571 SHG917571:SHH917571 SRC917571:SRD917571 TAY917571:TAZ917571 TKU917571:TKV917571 TUQ917571:TUR917571 UEM917571:UEN917571 UOI917571:UOJ917571 UYE917571:UYF917571 VIA917571:VIB917571 VRW917571:VRX917571 WBS917571:WBT917571 WLO917571:WLP917571 WVK917571:WVL917571 C983107:D983107 IY983107:IZ983107 SU983107:SV983107 ACQ983107:ACR983107 AMM983107:AMN983107 AWI983107:AWJ983107 BGE983107:BGF983107 BQA983107:BQB983107 BZW983107:BZX983107 CJS983107:CJT983107 CTO983107:CTP983107 DDK983107:DDL983107 DNG983107:DNH983107 DXC983107:DXD983107 EGY983107:EGZ983107 EQU983107:EQV983107 FAQ983107:FAR983107 FKM983107:FKN983107 FUI983107:FUJ983107 GEE983107:GEF983107 GOA983107:GOB983107 GXW983107:GXX983107 HHS983107:HHT983107 HRO983107:HRP983107 IBK983107:IBL983107 ILG983107:ILH983107 IVC983107:IVD983107 JEY983107:JEZ983107 JOU983107:JOV983107 JYQ983107:JYR983107 KIM983107:KIN983107 KSI983107:KSJ983107 LCE983107:LCF983107 LMA983107:LMB983107 LVW983107:LVX983107 MFS983107:MFT983107 MPO983107:MPP983107 MZK983107:MZL983107 NJG983107:NJH983107 NTC983107:NTD983107 OCY983107:OCZ983107 OMU983107:OMV983107 OWQ983107:OWR983107 PGM983107:PGN983107 PQI983107:PQJ983107 QAE983107:QAF983107 QKA983107:QKB983107 QTW983107:QTX983107 RDS983107:RDT983107 RNO983107:RNP983107 RXK983107:RXL983107 SHG983107:SHH983107 SRC983107:SRD983107 TAY983107:TAZ983107 TKU983107:TKV983107 TUQ983107:TUR983107 UEM983107:UEN983107 UOI983107:UOJ983107 UYE983107:UYF983107 VIA983107:VIB983107 VRW983107:VRX983107 WBS983107:WBT983107 WLO983107:WLP983107 WVK983107:WVL983107 E162:E163 JA162:JA163 SW162:SW163 ACS162:ACS163 AMO162:AMO163 AWK162:AWK163 BGG162:BGG163 BQC162:BQC163 BZY162:BZY163 CJU162:CJU163 CTQ162:CTQ163 DDM162:DDM163 DNI162:DNI163 DXE162:DXE163 EHA162:EHA163 EQW162:EQW163 FAS162:FAS163 FKO162:FKO163 FUK162:FUK163 GEG162:GEG163 GOC162:GOC163 GXY162:GXY163 HHU162:HHU163 HRQ162:HRQ163 IBM162:IBM163 ILI162:ILI163 IVE162:IVE163 JFA162:JFA163 JOW162:JOW163 JYS162:JYS163 KIO162:KIO163 KSK162:KSK163 LCG162:LCG163 LMC162:LMC163 LVY162:LVY163 MFU162:MFU163 MPQ162:MPQ163 MZM162:MZM163 NJI162:NJI163 NTE162:NTE163 ODA162:ODA163 OMW162:OMW163 OWS162:OWS163 PGO162:PGO163 PQK162:PQK163 QAG162:QAG163 QKC162:QKC163 QTY162:QTY163 RDU162:RDU163 RNQ162:RNQ163 RXM162:RXM163 SHI162:SHI163 SRE162:SRE163 TBA162:TBA163 TKW162:TKW163 TUS162:TUS163 UEO162:UEO163 UOK162:UOK163 UYG162:UYG163 VIC162:VIC163 VRY162:VRY163 WBU162:WBU163 WLQ162:WLQ163 WVM162:WVM163 E65698:E65699 JA65698:JA65699 SW65698:SW65699 ACS65698:ACS65699 AMO65698:AMO65699 AWK65698:AWK65699 BGG65698:BGG65699 BQC65698:BQC65699 BZY65698:BZY65699 CJU65698:CJU65699 CTQ65698:CTQ65699 DDM65698:DDM65699 DNI65698:DNI65699 DXE65698:DXE65699 EHA65698:EHA65699 EQW65698:EQW65699 FAS65698:FAS65699 FKO65698:FKO65699 FUK65698:FUK65699 GEG65698:GEG65699 GOC65698:GOC65699 GXY65698:GXY65699 HHU65698:HHU65699 HRQ65698:HRQ65699 IBM65698:IBM65699 ILI65698:ILI65699 IVE65698:IVE65699 JFA65698:JFA65699 JOW65698:JOW65699 JYS65698:JYS65699 KIO65698:KIO65699 KSK65698:KSK65699 LCG65698:LCG65699 LMC65698:LMC65699 LVY65698:LVY65699 MFU65698:MFU65699 MPQ65698:MPQ65699 MZM65698:MZM65699 NJI65698:NJI65699 NTE65698:NTE65699 ODA65698:ODA65699 OMW65698:OMW65699 OWS65698:OWS65699 PGO65698:PGO65699 PQK65698:PQK65699 QAG65698:QAG65699 QKC65698:QKC65699 QTY65698:QTY65699 RDU65698:RDU65699 RNQ65698:RNQ65699 RXM65698:RXM65699 SHI65698:SHI65699 SRE65698:SRE65699 TBA65698:TBA65699 TKW65698:TKW65699 TUS65698:TUS65699 UEO65698:UEO65699 UOK65698:UOK65699 UYG65698:UYG65699 VIC65698:VIC65699 VRY65698:VRY65699 WBU65698:WBU65699 WLQ65698:WLQ65699 WVM65698:WVM65699 E131234:E131235 JA131234:JA131235 SW131234:SW131235 ACS131234:ACS131235 AMO131234:AMO131235 AWK131234:AWK131235 BGG131234:BGG131235 BQC131234:BQC131235 BZY131234:BZY131235 CJU131234:CJU131235 CTQ131234:CTQ131235 DDM131234:DDM131235 DNI131234:DNI131235 DXE131234:DXE131235 EHA131234:EHA131235 EQW131234:EQW131235 FAS131234:FAS131235 FKO131234:FKO131235 FUK131234:FUK131235 GEG131234:GEG131235 GOC131234:GOC131235 GXY131234:GXY131235 HHU131234:HHU131235 HRQ131234:HRQ131235 IBM131234:IBM131235 ILI131234:ILI131235 IVE131234:IVE131235 JFA131234:JFA131235 JOW131234:JOW131235 JYS131234:JYS131235 KIO131234:KIO131235 KSK131234:KSK131235 LCG131234:LCG131235 LMC131234:LMC131235 LVY131234:LVY131235 MFU131234:MFU131235 MPQ131234:MPQ131235 MZM131234:MZM131235 NJI131234:NJI131235 NTE131234:NTE131235 ODA131234:ODA131235 OMW131234:OMW131235 OWS131234:OWS131235 PGO131234:PGO131235 PQK131234:PQK131235 QAG131234:QAG131235 QKC131234:QKC131235 QTY131234:QTY131235 RDU131234:RDU131235 RNQ131234:RNQ131235 RXM131234:RXM131235 SHI131234:SHI131235 SRE131234:SRE131235 TBA131234:TBA131235 TKW131234:TKW131235 TUS131234:TUS131235 UEO131234:UEO131235 UOK131234:UOK131235 UYG131234:UYG131235 VIC131234:VIC131235 VRY131234:VRY131235 WBU131234:WBU131235 WLQ131234:WLQ131235 WVM131234:WVM131235 E196770:E196771 JA196770:JA196771 SW196770:SW196771 ACS196770:ACS196771 AMO196770:AMO196771 AWK196770:AWK196771 BGG196770:BGG196771 BQC196770:BQC196771 BZY196770:BZY196771 CJU196770:CJU196771 CTQ196770:CTQ196771 DDM196770:DDM196771 DNI196770:DNI196771 DXE196770:DXE196771 EHA196770:EHA196771 EQW196770:EQW196771 FAS196770:FAS196771 FKO196770:FKO196771 FUK196770:FUK196771 GEG196770:GEG196771 GOC196770:GOC196771 GXY196770:GXY196771 HHU196770:HHU196771 HRQ196770:HRQ196771 IBM196770:IBM196771 ILI196770:ILI196771 IVE196770:IVE196771 JFA196770:JFA196771 JOW196770:JOW196771 JYS196770:JYS196771 KIO196770:KIO196771 KSK196770:KSK196771 LCG196770:LCG196771 LMC196770:LMC196771 LVY196770:LVY196771 MFU196770:MFU196771 MPQ196770:MPQ196771 MZM196770:MZM196771 NJI196770:NJI196771 NTE196770:NTE196771 ODA196770:ODA196771 OMW196770:OMW196771 OWS196770:OWS196771 PGO196770:PGO196771 PQK196770:PQK196771 QAG196770:QAG196771 QKC196770:QKC196771 QTY196770:QTY196771 RDU196770:RDU196771 RNQ196770:RNQ196771 RXM196770:RXM196771 SHI196770:SHI196771 SRE196770:SRE196771 TBA196770:TBA196771 TKW196770:TKW196771 TUS196770:TUS196771 UEO196770:UEO196771 UOK196770:UOK196771 UYG196770:UYG196771 VIC196770:VIC196771 VRY196770:VRY196771 WBU196770:WBU196771 WLQ196770:WLQ196771 WVM196770:WVM196771 E262306:E262307 JA262306:JA262307 SW262306:SW262307 ACS262306:ACS262307 AMO262306:AMO262307 AWK262306:AWK262307 BGG262306:BGG262307 BQC262306:BQC262307 BZY262306:BZY262307 CJU262306:CJU262307 CTQ262306:CTQ262307 DDM262306:DDM262307 DNI262306:DNI262307 DXE262306:DXE262307 EHA262306:EHA262307 EQW262306:EQW262307 FAS262306:FAS262307 FKO262306:FKO262307 FUK262306:FUK262307 GEG262306:GEG262307 GOC262306:GOC262307 GXY262306:GXY262307 HHU262306:HHU262307 HRQ262306:HRQ262307 IBM262306:IBM262307 ILI262306:ILI262307 IVE262306:IVE262307 JFA262306:JFA262307 JOW262306:JOW262307 JYS262306:JYS262307 KIO262306:KIO262307 KSK262306:KSK262307 LCG262306:LCG262307 LMC262306:LMC262307 LVY262306:LVY262307 MFU262306:MFU262307 MPQ262306:MPQ262307 MZM262306:MZM262307 NJI262306:NJI262307 NTE262306:NTE262307 ODA262306:ODA262307 OMW262306:OMW262307 OWS262306:OWS262307 PGO262306:PGO262307 PQK262306:PQK262307 QAG262306:QAG262307 QKC262306:QKC262307 QTY262306:QTY262307 RDU262306:RDU262307 RNQ262306:RNQ262307 RXM262306:RXM262307 SHI262306:SHI262307 SRE262306:SRE262307 TBA262306:TBA262307 TKW262306:TKW262307 TUS262306:TUS262307 UEO262306:UEO262307 UOK262306:UOK262307 UYG262306:UYG262307 VIC262306:VIC262307 VRY262306:VRY262307 WBU262306:WBU262307 WLQ262306:WLQ262307 WVM262306:WVM262307 E327842:E327843 JA327842:JA327843 SW327842:SW327843 ACS327842:ACS327843 AMO327842:AMO327843 AWK327842:AWK327843 BGG327842:BGG327843 BQC327842:BQC327843 BZY327842:BZY327843 CJU327842:CJU327843 CTQ327842:CTQ327843 DDM327842:DDM327843 DNI327842:DNI327843 DXE327842:DXE327843 EHA327842:EHA327843 EQW327842:EQW327843 FAS327842:FAS327843 FKO327842:FKO327843 FUK327842:FUK327843 GEG327842:GEG327843 GOC327842:GOC327843 GXY327842:GXY327843 HHU327842:HHU327843 HRQ327842:HRQ327843 IBM327842:IBM327843 ILI327842:ILI327843 IVE327842:IVE327843 JFA327842:JFA327843 JOW327842:JOW327843 JYS327842:JYS327843 KIO327842:KIO327843 KSK327842:KSK327843 LCG327842:LCG327843 LMC327842:LMC327843 LVY327842:LVY327843 MFU327842:MFU327843 MPQ327842:MPQ327843 MZM327842:MZM327843 NJI327842:NJI327843 NTE327842:NTE327843 ODA327842:ODA327843 OMW327842:OMW327843 OWS327842:OWS327843 PGO327842:PGO327843 PQK327842:PQK327843 QAG327842:QAG327843 QKC327842:QKC327843 QTY327842:QTY327843 RDU327842:RDU327843 RNQ327842:RNQ327843 RXM327842:RXM327843 SHI327842:SHI327843 SRE327842:SRE327843 TBA327842:TBA327843 TKW327842:TKW327843 TUS327842:TUS327843 UEO327842:UEO327843 UOK327842:UOK327843 UYG327842:UYG327843 VIC327842:VIC327843 VRY327842:VRY327843 WBU327842:WBU327843 WLQ327842:WLQ327843 WVM327842:WVM327843 E393378:E393379 JA393378:JA393379 SW393378:SW393379 ACS393378:ACS393379 AMO393378:AMO393379 AWK393378:AWK393379 BGG393378:BGG393379 BQC393378:BQC393379 BZY393378:BZY393379 CJU393378:CJU393379 CTQ393378:CTQ393379 DDM393378:DDM393379 DNI393378:DNI393379 DXE393378:DXE393379 EHA393378:EHA393379 EQW393378:EQW393379 FAS393378:FAS393379 FKO393378:FKO393379 FUK393378:FUK393379 GEG393378:GEG393379 GOC393378:GOC393379 GXY393378:GXY393379 HHU393378:HHU393379 HRQ393378:HRQ393379 IBM393378:IBM393379 ILI393378:ILI393379 IVE393378:IVE393379 JFA393378:JFA393379 JOW393378:JOW393379 JYS393378:JYS393379 KIO393378:KIO393379 KSK393378:KSK393379 LCG393378:LCG393379 LMC393378:LMC393379 LVY393378:LVY393379 MFU393378:MFU393379 MPQ393378:MPQ393379 MZM393378:MZM393379 NJI393378:NJI393379 NTE393378:NTE393379 ODA393378:ODA393379 OMW393378:OMW393379 OWS393378:OWS393379 PGO393378:PGO393379 PQK393378:PQK393379 QAG393378:QAG393379 QKC393378:QKC393379 QTY393378:QTY393379 RDU393378:RDU393379 RNQ393378:RNQ393379 RXM393378:RXM393379 SHI393378:SHI393379 SRE393378:SRE393379 TBA393378:TBA393379 TKW393378:TKW393379 TUS393378:TUS393379 UEO393378:UEO393379 UOK393378:UOK393379 UYG393378:UYG393379 VIC393378:VIC393379 VRY393378:VRY393379 WBU393378:WBU393379 WLQ393378:WLQ393379 WVM393378:WVM393379 E458914:E458915 JA458914:JA458915 SW458914:SW458915 ACS458914:ACS458915 AMO458914:AMO458915 AWK458914:AWK458915 BGG458914:BGG458915 BQC458914:BQC458915 BZY458914:BZY458915 CJU458914:CJU458915 CTQ458914:CTQ458915 DDM458914:DDM458915 DNI458914:DNI458915 DXE458914:DXE458915 EHA458914:EHA458915 EQW458914:EQW458915 FAS458914:FAS458915 FKO458914:FKO458915 FUK458914:FUK458915 GEG458914:GEG458915 GOC458914:GOC458915 GXY458914:GXY458915 HHU458914:HHU458915 HRQ458914:HRQ458915 IBM458914:IBM458915 ILI458914:ILI458915 IVE458914:IVE458915 JFA458914:JFA458915 JOW458914:JOW458915 JYS458914:JYS458915 KIO458914:KIO458915 KSK458914:KSK458915 LCG458914:LCG458915 LMC458914:LMC458915 LVY458914:LVY458915 MFU458914:MFU458915 MPQ458914:MPQ458915 MZM458914:MZM458915 NJI458914:NJI458915 NTE458914:NTE458915 ODA458914:ODA458915 OMW458914:OMW458915 OWS458914:OWS458915 PGO458914:PGO458915 PQK458914:PQK458915 QAG458914:QAG458915 QKC458914:QKC458915 QTY458914:QTY458915 RDU458914:RDU458915 RNQ458914:RNQ458915 RXM458914:RXM458915 SHI458914:SHI458915 SRE458914:SRE458915 TBA458914:TBA458915 TKW458914:TKW458915 TUS458914:TUS458915 UEO458914:UEO458915 UOK458914:UOK458915 UYG458914:UYG458915 VIC458914:VIC458915 VRY458914:VRY458915 WBU458914:WBU458915 WLQ458914:WLQ458915 WVM458914:WVM458915 E524450:E524451 JA524450:JA524451 SW524450:SW524451 ACS524450:ACS524451 AMO524450:AMO524451 AWK524450:AWK524451 BGG524450:BGG524451 BQC524450:BQC524451 BZY524450:BZY524451 CJU524450:CJU524451 CTQ524450:CTQ524451 DDM524450:DDM524451 DNI524450:DNI524451 DXE524450:DXE524451 EHA524450:EHA524451 EQW524450:EQW524451 FAS524450:FAS524451 FKO524450:FKO524451 FUK524450:FUK524451 GEG524450:GEG524451 GOC524450:GOC524451 GXY524450:GXY524451 HHU524450:HHU524451 HRQ524450:HRQ524451 IBM524450:IBM524451 ILI524450:ILI524451 IVE524450:IVE524451 JFA524450:JFA524451 JOW524450:JOW524451 JYS524450:JYS524451 KIO524450:KIO524451 KSK524450:KSK524451 LCG524450:LCG524451 LMC524450:LMC524451 LVY524450:LVY524451 MFU524450:MFU524451 MPQ524450:MPQ524451 MZM524450:MZM524451 NJI524450:NJI524451 NTE524450:NTE524451 ODA524450:ODA524451 OMW524450:OMW524451 OWS524450:OWS524451 PGO524450:PGO524451 PQK524450:PQK524451 QAG524450:QAG524451 QKC524450:QKC524451 QTY524450:QTY524451 RDU524450:RDU524451 RNQ524450:RNQ524451 RXM524450:RXM524451 SHI524450:SHI524451 SRE524450:SRE524451 TBA524450:TBA524451 TKW524450:TKW524451 TUS524450:TUS524451 UEO524450:UEO524451 UOK524450:UOK524451 UYG524450:UYG524451 VIC524450:VIC524451 VRY524450:VRY524451 WBU524450:WBU524451 WLQ524450:WLQ524451 WVM524450:WVM524451 E589986:E589987 JA589986:JA589987 SW589986:SW589987 ACS589986:ACS589987 AMO589986:AMO589987 AWK589986:AWK589987 BGG589986:BGG589987 BQC589986:BQC589987 BZY589986:BZY589987 CJU589986:CJU589987 CTQ589986:CTQ589987 DDM589986:DDM589987 DNI589986:DNI589987 DXE589986:DXE589987 EHA589986:EHA589987 EQW589986:EQW589987 FAS589986:FAS589987 FKO589986:FKO589987 FUK589986:FUK589987 GEG589986:GEG589987 GOC589986:GOC589987 GXY589986:GXY589987 HHU589986:HHU589987 HRQ589986:HRQ589987 IBM589986:IBM589987 ILI589986:ILI589987 IVE589986:IVE589987 JFA589986:JFA589987 JOW589986:JOW589987 JYS589986:JYS589987 KIO589986:KIO589987 KSK589986:KSK589987 LCG589986:LCG589987 LMC589986:LMC589987 LVY589986:LVY589987 MFU589986:MFU589987 MPQ589986:MPQ589987 MZM589986:MZM589987 NJI589986:NJI589987 NTE589986:NTE589987 ODA589986:ODA589987 OMW589986:OMW589987 OWS589986:OWS589987 PGO589986:PGO589987 PQK589986:PQK589987 QAG589986:QAG589987 QKC589986:QKC589987 QTY589986:QTY589987 RDU589986:RDU589987 RNQ589986:RNQ589987 RXM589986:RXM589987 SHI589986:SHI589987 SRE589986:SRE589987 TBA589986:TBA589987 TKW589986:TKW589987 TUS589986:TUS589987 UEO589986:UEO589987 UOK589986:UOK589987 UYG589986:UYG589987 VIC589986:VIC589987 VRY589986:VRY589987 WBU589986:WBU589987 WLQ589986:WLQ589987 WVM589986:WVM589987 E655522:E655523 JA655522:JA655523 SW655522:SW655523 ACS655522:ACS655523 AMO655522:AMO655523 AWK655522:AWK655523 BGG655522:BGG655523 BQC655522:BQC655523 BZY655522:BZY655523 CJU655522:CJU655523 CTQ655522:CTQ655523 DDM655522:DDM655523 DNI655522:DNI655523 DXE655522:DXE655523 EHA655522:EHA655523 EQW655522:EQW655523 FAS655522:FAS655523 FKO655522:FKO655523 FUK655522:FUK655523 GEG655522:GEG655523 GOC655522:GOC655523 GXY655522:GXY655523 HHU655522:HHU655523 HRQ655522:HRQ655523 IBM655522:IBM655523 ILI655522:ILI655523 IVE655522:IVE655523 JFA655522:JFA655523 JOW655522:JOW655523 JYS655522:JYS655523 KIO655522:KIO655523 KSK655522:KSK655523 LCG655522:LCG655523 LMC655522:LMC655523 LVY655522:LVY655523 MFU655522:MFU655523 MPQ655522:MPQ655523 MZM655522:MZM655523 NJI655522:NJI655523 NTE655522:NTE655523 ODA655522:ODA655523 OMW655522:OMW655523 OWS655522:OWS655523 PGO655522:PGO655523 PQK655522:PQK655523 QAG655522:QAG655523 QKC655522:QKC655523 QTY655522:QTY655523 RDU655522:RDU655523 RNQ655522:RNQ655523 RXM655522:RXM655523 SHI655522:SHI655523 SRE655522:SRE655523 TBA655522:TBA655523 TKW655522:TKW655523 TUS655522:TUS655523 UEO655522:UEO655523 UOK655522:UOK655523 UYG655522:UYG655523 VIC655522:VIC655523 VRY655522:VRY655523 WBU655522:WBU655523 WLQ655522:WLQ655523 WVM655522:WVM655523 E721058:E721059 JA721058:JA721059 SW721058:SW721059 ACS721058:ACS721059 AMO721058:AMO721059 AWK721058:AWK721059 BGG721058:BGG721059 BQC721058:BQC721059 BZY721058:BZY721059 CJU721058:CJU721059 CTQ721058:CTQ721059 DDM721058:DDM721059 DNI721058:DNI721059 DXE721058:DXE721059 EHA721058:EHA721059 EQW721058:EQW721059 FAS721058:FAS721059 FKO721058:FKO721059 FUK721058:FUK721059 GEG721058:GEG721059 GOC721058:GOC721059 GXY721058:GXY721059 HHU721058:HHU721059 HRQ721058:HRQ721059 IBM721058:IBM721059 ILI721058:ILI721059 IVE721058:IVE721059 JFA721058:JFA721059 JOW721058:JOW721059 JYS721058:JYS721059 KIO721058:KIO721059 KSK721058:KSK721059 LCG721058:LCG721059 LMC721058:LMC721059 LVY721058:LVY721059 MFU721058:MFU721059 MPQ721058:MPQ721059 MZM721058:MZM721059 NJI721058:NJI721059 NTE721058:NTE721059 ODA721058:ODA721059 OMW721058:OMW721059 OWS721058:OWS721059 PGO721058:PGO721059 PQK721058:PQK721059 QAG721058:QAG721059 QKC721058:QKC721059 QTY721058:QTY721059 RDU721058:RDU721059 RNQ721058:RNQ721059 RXM721058:RXM721059 SHI721058:SHI721059 SRE721058:SRE721059 TBA721058:TBA721059 TKW721058:TKW721059 TUS721058:TUS721059 UEO721058:UEO721059 UOK721058:UOK721059 UYG721058:UYG721059 VIC721058:VIC721059 VRY721058:VRY721059 WBU721058:WBU721059 WLQ721058:WLQ721059 WVM721058:WVM721059 E786594:E786595 JA786594:JA786595 SW786594:SW786595 ACS786594:ACS786595 AMO786594:AMO786595 AWK786594:AWK786595 BGG786594:BGG786595 BQC786594:BQC786595 BZY786594:BZY786595 CJU786594:CJU786595 CTQ786594:CTQ786595 DDM786594:DDM786595 DNI786594:DNI786595 DXE786594:DXE786595 EHA786594:EHA786595 EQW786594:EQW786595 FAS786594:FAS786595 FKO786594:FKO786595 FUK786594:FUK786595 GEG786594:GEG786595 GOC786594:GOC786595 GXY786594:GXY786595 HHU786594:HHU786595 HRQ786594:HRQ786595 IBM786594:IBM786595 ILI786594:ILI786595 IVE786594:IVE786595 JFA786594:JFA786595 JOW786594:JOW786595 JYS786594:JYS786595 KIO786594:KIO786595 KSK786594:KSK786595 LCG786594:LCG786595 LMC786594:LMC786595 LVY786594:LVY786595 MFU786594:MFU786595 MPQ786594:MPQ786595 MZM786594:MZM786595 NJI786594:NJI786595 NTE786594:NTE786595 ODA786594:ODA786595 OMW786594:OMW786595 OWS786594:OWS786595 PGO786594:PGO786595 PQK786594:PQK786595 QAG786594:QAG786595 QKC786594:QKC786595 QTY786594:QTY786595 RDU786594:RDU786595 RNQ786594:RNQ786595 RXM786594:RXM786595 SHI786594:SHI786595 SRE786594:SRE786595 TBA786594:TBA786595 TKW786594:TKW786595 TUS786594:TUS786595 UEO786594:UEO786595 UOK786594:UOK786595 UYG786594:UYG786595 VIC786594:VIC786595 VRY786594:VRY786595 WBU786594:WBU786595 WLQ786594:WLQ786595 WVM786594:WVM786595 E852130:E852131 JA852130:JA852131 SW852130:SW852131 ACS852130:ACS852131 AMO852130:AMO852131 AWK852130:AWK852131 BGG852130:BGG852131 BQC852130:BQC852131 BZY852130:BZY852131 CJU852130:CJU852131 CTQ852130:CTQ852131 DDM852130:DDM852131 DNI852130:DNI852131 DXE852130:DXE852131 EHA852130:EHA852131 EQW852130:EQW852131 FAS852130:FAS852131 FKO852130:FKO852131 FUK852130:FUK852131 GEG852130:GEG852131 GOC852130:GOC852131 GXY852130:GXY852131 HHU852130:HHU852131 HRQ852130:HRQ852131 IBM852130:IBM852131 ILI852130:ILI852131 IVE852130:IVE852131 JFA852130:JFA852131 JOW852130:JOW852131 JYS852130:JYS852131 KIO852130:KIO852131 KSK852130:KSK852131 LCG852130:LCG852131 LMC852130:LMC852131 LVY852130:LVY852131 MFU852130:MFU852131 MPQ852130:MPQ852131 MZM852130:MZM852131 NJI852130:NJI852131 NTE852130:NTE852131 ODA852130:ODA852131 OMW852130:OMW852131 OWS852130:OWS852131 PGO852130:PGO852131 PQK852130:PQK852131 QAG852130:QAG852131 QKC852130:QKC852131 QTY852130:QTY852131 RDU852130:RDU852131 RNQ852130:RNQ852131 RXM852130:RXM852131 SHI852130:SHI852131 SRE852130:SRE852131 TBA852130:TBA852131 TKW852130:TKW852131 TUS852130:TUS852131 UEO852130:UEO852131 UOK852130:UOK852131 UYG852130:UYG852131 VIC852130:VIC852131 VRY852130:VRY852131 WBU852130:WBU852131 WLQ852130:WLQ852131 WVM852130:WVM852131 E917666:E917667 JA917666:JA917667 SW917666:SW917667 ACS917666:ACS917667 AMO917666:AMO917667 AWK917666:AWK917667 BGG917666:BGG917667 BQC917666:BQC917667 BZY917666:BZY917667 CJU917666:CJU917667 CTQ917666:CTQ917667 DDM917666:DDM917667 DNI917666:DNI917667 DXE917666:DXE917667 EHA917666:EHA917667 EQW917666:EQW917667 FAS917666:FAS917667 FKO917666:FKO917667 FUK917666:FUK917667 GEG917666:GEG917667 GOC917666:GOC917667 GXY917666:GXY917667 HHU917666:HHU917667 HRQ917666:HRQ917667 IBM917666:IBM917667 ILI917666:ILI917667 IVE917666:IVE917667 JFA917666:JFA917667 JOW917666:JOW917667 JYS917666:JYS917667 KIO917666:KIO917667 KSK917666:KSK917667 LCG917666:LCG917667 LMC917666:LMC917667 LVY917666:LVY917667 MFU917666:MFU917667 MPQ917666:MPQ917667 MZM917666:MZM917667 NJI917666:NJI917667 NTE917666:NTE917667 ODA917666:ODA917667 OMW917666:OMW917667 OWS917666:OWS917667 PGO917666:PGO917667 PQK917666:PQK917667 QAG917666:QAG917667 QKC917666:QKC917667 QTY917666:QTY917667 RDU917666:RDU917667 RNQ917666:RNQ917667 RXM917666:RXM917667 SHI917666:SHI917667 SRE917666:SRE917667 TBA917666:TBA917667 TKW917666:TKW917667 TUS917666:TUS917667 UEO917666:UEO917667 UOK917666:UOK917667 UYG917666:UYG917667 VIC917666:VIC917667 VRY917666:VRY917667 WBU917666:WBU917667 WLQ917666:WLQ917667 WVM917666:WVM917667 E983202:E983203 JA983202:JA983203 SW983202:SW983203 ACS983202:ACS983203 AMO983202:AMO983203 AWK983202:AWK983203 BGG983202:BGG983203 BQC983202:BQC983203 BZY983202:BZY983203 CJU983202:CJU983203 CTQ983202:CTQ983203 DDM983202:DDM983203 DNI983202:DNI983203 DXE983202:DXE983203 EHA983202:EHA983203 EQW983202:EQW983203 FAS983202:FAS983203 FKO983202:FKO983203 FUK983202:FUK983203 GEG983202:GEG983203 GOC983202:GOC983203 GXY983202:GXY983203 HHU983202:HHU983203 HRQ983202:HRQ983203 IBM983202:IBM983203 ILI983202:ILI983203 IVE983202:IVE983203 JFA983202:JFA983203 JOW983202:JOW983203 JYS983202:JYS983203 KIO983202:KIO983203 KSK983202:KSK983203 LCG983202:LCG983203 LMC983202:LMC983203 LVY983202:LVY983203 MFU983202:MFU983203 MPQ983202:MPQ983203 MZM983202:MZM983203 NJI983202:NJI983203 NTE983202:NTE983203 ODA983202:ODA983203 OMW983202:OMW983203 OWS983202:OWS983203 PGO983202:PGO983203 PQK983202:PQK983203 QAG983202:QAG983203 QKC983202:QKC983203 QTY983202:QTY983203 RDU983202:RDU983203 RNQ983202:RNQ983203 RXM983202:RXM983203 SHI983202:SHI983203 SRE983202:SRE983203 TBA983202:TBA983203 TKW983202:TKW983203 TUS983202:TUS983203 UEO983202:UEO983203 UOK983202:UOK983203 UYG983202:UYG983203 VIC983202:VIC983203 VRY983202:VRY983203 WBU983202:WBU983203 WLQ983202:WLQ983203 WVM983202:WVM983203 C83:D83 IY83:IZ83 SU83:SV83 ACQ83:ACR83 AMM83:AMN83 AWI83:AWJ83 BGE83:BGF83 BQA83:BQB83 BZW83:BZX83 CJS83:CJT83 CTO83:CTP83 DDK83:DDL83 DNG83:DNH83 DXC83:DXD83 EGY83:EGZ83 EQU83:EQV83 FAQ83:FAR83 FKM83:FKN83 FUI83:FUJ83 GEE83:GEF83 GOA83:GOB83 GXW83:GXX83 HHS83:HHT83 HRO83:HRP83 IBK83:IBL83 ILG83:ILH83 IVC83:IVD83 JEY83:JEZ83 JOU83:JOV83 JYQ83:JYR83 KIM83:KIN83 KSI83:KSJ83 LCE83:LCF83 LMA83:LMB83 LVW83:LVX83 MFS83:MFT83 MPO83:MPP83 MZK83:MZL83 NJG83:NJH83 NTC83:NTD83 OCY83:OCZ83 OMU83:OMV83 OWQ83:OWR83 PGM83:PGN83 PQI83:PQJ83 QAE83:QAF83 QKA83:QKB83 QTW83:QTX83 RDS83:RDT83 RNO83:RNP83 RXK83:RXL83 SHG83:SHH83 SRC83:SRD83 TAY83:TAZ83 TKU83:TKV83 TUQ83:TUR83 UEM83:UEN83 UOI83:UOJ83 UYE83:UYF83 VIA83:VIB83 VRW83:VRX83 WBS83:WBT83 WLO83:WLP83 WVK83:WVL83 C65619:D65619 IY65619:IZ65619 SU65619:SV65619 ACQ65619:ACR65619 AMM65619:AMN65619 AWI65619:AWJ65619 BGE65619:BGF65619 BQA65619:BQB65619 BZW65619:BZX65619 CJS65619:CJT65619 CTO65619:CTP65619 DDK65619:DDL65619 DNG65619:DNH65619 DXC65619:DXD65619 EGY65619:EGZ65619 EQU65619:EQV65619 FAQ65619:FAR65619 FKM65619:FKN65619 FUI65619:FUJ65619 GEE65619:GEF65619 GOA65619:GOB65619 GXW65619:GXX65619 HHS65619:HHT65619 HRO65619:HRP65619 IBK65619:IBL65619 ILG65619:ILH65619 IVC65619:IVD65619 JEY65619:JEZ65619 JOU65619:JOV65619 JYQ65619:JYR65619 KIM65619:KIN65619 KSI65619:KSJ65619 LCE65619:LCF65619 LMA65619:LMB65619 LVW65619:LVX65619 MFS65619:MFT65619 MPO65619:MPP65619 MZK65619:MZL65619 NJG65619:NJH65619 NTC65619:NTD65619 OCY65619:OCZ65619 OMU65619:OMV65619 OWQ65619:OWR65619 PGM65619:PGN65619 PQI65619:PQJ65619 QAE65619:QAF65619 QKA65619:QKB65619 QTW65619:QTX65619 RDS65619:RDT65619 RNO65619:RNP65619 RXK65619:RXL65619 SHG65619:SHH65619 SRC65619:SRD65619 TAY65619:TAZ65619 TKU65619:TKV65619 TUQ65619:TUR65619 UEM65619:UEN65619 UOI65619:UOJ65619 UYE65619:UYF65619 VIA65619:VIB65619 VRW65619:VRX65619 WBS65619:WBT65619 WLO65619:WLP65619 WVK65619:WVL65619 C131155:D131155 IY131155:IZ131155 SU131155:SV131155 ACQ131155:ACR131155 AMM131155:AMN131155 AWI131155:AWJ131155 BGE131155:BGF131155 BQA131155:BQB131155 BZW131155:BZX131155 CJS131155:CJT131155 CTO131155:CTP131155 DDK131155:DDL131155 DNG131155:DNH131155 DXC131155:DXD131155 EGY131155:EGZ131155 EQU131155:EQV131155 FAQ131155:FAR131155 FKM131155:FKN131155 FUI131155:FUJ131155 GEE131155:GEF131155 GOA131155:GOB131155 GXW131155:GXX131155 HHS131155:HHT131155 HRO131155:HRP131155 IBK131155:IBL131155 ILG131155:ILH131155 IVC131155:IVD131155 JEY131155:JEZ131155 JOU131155:JOV131155 JYQ131155:JYR131155 KIM131155:KIN131155 KSI131155:KSJ131155 LCE131155:LCF131155 LMA131155:LMB131155 LVW131155:LVX131155 MFS131155:MFT131155 MPO131155:MPP131155 MZK131155:MZL131155 NJG131155:NJH131155 NTC131155:NTD131155 OCY131155:OCZ131155 OMU131155:OMV131155 OWQ131155:OWR131155 PGM131155:PGN131155 PQI131155:PQJ131155 QAE131155:QAF131155 QKA131155:QKB131155 QTW131155:QTX131155 RDS131155:RDT131155 RNO131155:RNP131155 RXK131155:RXL131155 SHG131155:SHH131155 SRC131155:SRD131155 TAY131155:TAZ131155 TKU131155:TKV131155 TUQ131155:TUR131155 UEM131155:UEN131155 UOI131155:UOJ131155 UYE131155:UYF131155 VIA131155:VIB131155 VRW131155:VRX131155 WBS131155:WBT131155 WLO131155:WLP131155 WVK131155:WVL131155 C196691:D196691 IY196691:IZ196691 SU196691:SV196691 ACQ196691:ACR196691 AMM196691:AMN196691 AWI196691:AWJ196691 BGE196691:BGF196691 BQA196691:BQB196691 BZW196691:BZX196691 CJS196691:CJT196691 CTO196691:CTP196691 DDK196691:DDL196691 DNG196691:DNH196691 DXC196691:DXD196691 EGY196691:EGZ196691 EQU196691:EQV196691 FAQ196691:FAR196691 FKM196691:FKN196691 FUI196691:FUJ196691 GEE196691:GEF196691 GOA196691:GOB196691 GXW196691:GXX196691 HHS196691:HHT196691 HRO196691:HRP196691 IBK196691:IBL196691 ILG196691:ILH196691 IVC196691:IVD196691 JEY196691:JEZ196691 JOU196691:JOV196691 JYQ196691:JYR196691 KIM196691:KIN196691 KSI196691:KSJ196691 LCE196691:LCF196691 LMA196691:LMB196691 LVW196691:LVX196691 MFS196691:MFT196691 MPO196691:MPP196691 MZK196691:MZL196691 NJG196691:NJH196691 NTC196691:NTD196691 OCY196691:OCZ196691 OMU196691:OMV196691 OWQ196691:OWR196691 PGM196691:PGN196691 PQI196691:PQJ196691 QAE196691:QAF196691 QKA196691:QKB196691 QTW196691:QTX196691 RDS196691:RDT196691 RNO196691:RNP196691 RXK196691:RXL196691 SHG196691:SHH196691 SRC196691:SRD196691 TAY196691:TAZ196691 TKU196691:TKV196691 TUQ196691:TUR196691 UEM196691:UEN196691 UOI196691:UOJ196691 UYE196691:UYF196691 VIA196691:VIB196691 VRW196691:VRX196691 WBS196691:WBT196691 WLO196691:WLP196691 WVK196691:WVL196691 C262227:D262227 IY262227:IZ262227 SU262227:SV262227 ACQ262227:ACR262227 AMM262227:AMN262227 AWI262227:AWJ262227 BGE262227:BGF262227 BQA262227:BQB262227 BZW262227:BZX262227 CJS262227:CJT262227 CTO262227:CTP262227 DDK262227:DDL262227 DNG262227:DNH262227 DXC262227:DXD262227 EGY262227:EGZ262227 EQU262227:EQV262227 FAQ262227:FAR262227 FKM262227:FKN262227 FUI262227:FUJ262227 GEE262227:GEF262227 GOA262227:GOB262227 GXW262227:GXX262227 HHS262227:HHT262227 HRO262227:HRP262227 IBK262227:IBL262227 ILG262227:ILH262227 IVC262227:IVD262227 JEY262227:JEZ262227 JOU262227:JOV262227 JYQ262227:JYR262227 KIM262227:KIN262227 KSI262227:KSJ262227 LCE262227:LCF262227 LMA262227:LMB262227 LVW262227:LVX262227 MFS262227:MFT262227 MPO262227:MPP262227 MZK262227:MZL262227 NJG262227:NJH262227 NTC262227:NTD262227 OCY262227:OCZ262227 OMU262227:OMV262227 OWQ262227:OWR262227 PGM262227:PGN262227 PQI262227:PQJ262227 QAE262227:QAF262227 QKA262227:QKB262227 QTW262227:QTX262227 RDS262227:RDT262227 RNO262227:RNP262227 RXK262227:RXL262227 SHG262227:SHH262227 SRC262227:SRD262227 TAY262227:TAZ262227 TKU262227:TKV262227 TUQ262227:TUR262227 UEM262227:UEN262227 UOI262227:UOJ262227 UYE262227:UYF262227 VIA262227:VIB262227 VRW262227:VRX262227 WBS262227:WBT262227 WLO262227:WLP262227 WVK262227:WVL262227 C327763:D327763 IY327763:IZ327763 SU327763:SV327763 ACQ327763:ACR327763 AMM327763:AMN327763 AWI327763:AWJ327763 BGE327763:BGF327763 BQA327763:BQB327763 BZW327763:BZX327763 CJS327763:CJT327763 CTO327763:CTP327763 DDK327763:DDL327763 DNG327763:DNH327763 DXC327763:DXD327763 EGY327763:EGZ327763 EQU327763:EQV327763 FAQ327763:FAR327763 FKM327763:FKN327763 FUI327763:FUJ327763 GEE327763:GEF327763 GOA327763:GOB327763 GXW327763:GXX327763 HHS327763:HHT327763 HRO327763:HRP327763 IBK327763:IBL327763 ILG327763:ILH327763 IVC327763:IVD327763 JEY327763:JEZ327763 JOU327763:JOV327763 JYQ327763:JYR327763 KIM327763:KIN327763 KSI327763:KSJ327763 LCE327763:LCF327763 LMA327763:LMB327763 LVW327763:LVX327763 MFS327763:MFT327763 MPO327763:MPP327763 MZK327763:MZL327763 NJG327763:NJH327763 NTC327763:NTD327763 OCY327763:OCZ327763 OMU327763:OMV327763 OWQ327763:OWR327763 PGM327763:PGN327763 PQI327763:PQJ327763 QAE327763:QAF327763 QKA327763:QKB327763 QTW327763:QTX327763 RDS327763:RDT327763 RNO327763:RNP327763 RXK327763:RXL327763 SHG327763:SHH327763 SRC327763:SRD327763 TAY327763:TAZ327763 TKU327763:TKV327763 TUQ327763:TUR327763 UEM327763:UEN327763 UOI327763:UOJ327763 UYE327763:UYF327763 VIA327763:VIB327763 VRW327763:VRX327763 WBS327763:WBT327763 WLO327763:WLP327763 WVK327763:WVL327763 C393299:D393299 IY393299:IZ393299 SU393299:SV393299 ACQ393299:ACR393299 AMM393299:AMN393299 AWI393299:AWJ393299 BGE393299:BGF393299 BQA393299:BQB393299 BZW393299:BZX393299 CJS393299:CJT393299 CTO393299:CTP393299 DDK393299:DDL393299 DNG393299:DNH393299 DXC393299:DXD393299 EGY393299:EGZ393299 EQU393299:EQV393299 FAQ393299:FAR393299 FKM393299:FKN393299 FUI393299:FUJ393299 GEE393299:GEF393299 GOA393299:GOB393299 GXW393299:GXX393299 HHS393299:HHT393299 HRO393299:HRP393299 IBK393299:IBL393299 ILG393299:ILH393299 IVC393299:IVD393299 JEY393299:JEZ393299 JOU393299:JOV393299 JYQ393299:JYR393299 KIM393299:KIN393299 KSI393299:KSJ393299 LCE393299:LCF393299 LMA393299:LMB393299 LVW393299:LVX393299 MFS393299:MFT393299 MPO393299:MPP393299 MZK393299:MZL393299 NJG393299:NJH393299 NTC393299:NTD393299 OCY393299:OCZ393299 OMU393299:OMV393299 OWQ393299:OWR393299 PGM393299:PGN393299 PQI393299:PQJ393299 QAE393299:QAF393299 QKA393299:QKB393299 QTW393299:QTX393299 RDS393299:RDT393299 RNO393299:RNP393299 RXK393299:RXL393299 SHG393299:SHH393299 SRC393299:SRD393299 TAY393299:TAZ393299 TKU393299:TKV393299 TUQ393299:TUR393299 UEM393299:UEN393299 UOI393299:UOJ393299 UYE393299:UYF393299 VIA393299:VIB393299 VRW393299:VRX393299 WBS393299:WBT393299 WLO393299:WLP393299 WVK393299:WVL393299 C458835:D458835 IY458835:IZ458835 SU458835:SV458835 ACQ458835:ACR458835 AMM458835:AMN458835 AWI458835:AWJ458835 BGE458835:BGF458835 BQA458835:BQB458835 BZW458835:BZX458835 CJS458835:CJT458835 CTO458835:CTP458835 DDK458835:DDL458835 DNG458835:DNH458835 DXC458835:DXD458835 EGY458835:EGZ458835 EQU458835:EQV458835 FAQ458835:FAR458835 FKM458835:FKN458835 FUI458835:FUJ458835 GEE458835:GEF458835 GOA458835:GOB458835 GXW458835:GXX458835 HHS458835:HHT458835 HRO458835:HRP458835 IBK458835:IBL458835 ILG458835:ILH458835 IVC458835:IVD458835 JEY458835:JEZ458835 JOU458835:JOV458835 JYQ458835:JYR458835 KIM458835:KIN458835 KSI458835:KSJ458835 LCE458835:LCF458835 LMA458835:LMB458835 LVW458835:LVX458835 MFS458835:MFT458835 MPO458835:MPP458835 MZK458835:MZL458835 NJG458835:NJH458835 NTC458835:NTD458835 OCY458835:OCZ458835 OMU458835:OMV458835 OWQ458835:OWR458835 PGM458835:PGN458835 PQI458835:PQJ458835 QAE458835:QAF458835 QKA458835:QKB458835 QTW458835:QTX458835 RDS458835:RDT458835 RNO458835:RNP458835 RXK458835:RXL458835 SHG458835:SHH458835 SRC458835:SRD458835 TAY458835:TAZ458835 TKU458835:TKV458835 TUQ458835:TUR458835 UEM458835:UEN458835 UOI458835:UOJ458835 UYE458835:UYF458835 VIA458835:VIB458835 VRW458835:VRX458835 WBS458835:WBT458835 WLO458835:WLP458835 WVK458835:WVL458835 C524371:D524371 IY524371:IZ524371 SU524371:SV524371 ACQ524371:ACR524371 AMM524371:AMN524371 AWI524371:AWJ524371 BGE524371:BGF524371 BQA524371:BQB524371 BZW524371:BZX524371 CJS524371:CJT524371 CTO524371:CTP524371 DDK524371:DDL524371 DNG524371:DNH524371 DXC524371:DXD524371 EGY524371:EGZ524371 EQU524371:EQV524371 FAQ524371:FAR524371 FKM524371:FKN524371 FUI524371:FUJ524371 GEE524371:GEF524371 GOA524371:GOB524371 GXW524371:GXX524371 HHS524371:HHT524371 HRO524371:HRP524371 IBK524371:IBL524371 ILG524371:ILH524371 IVC524371:IVD524371 JEY524371:JEZ524371 JOU524371:JOV524371 JYQ524371:JYR524371 KIM524371:KIN524371 KSI524371:KSJ524371 LCE524371:LCF524371 LMA524371:LMB524371 LVW524371:LVX524371 MFS524371:MFT524371 MPO524371:MPP524371 MZK524371:MZL524371 NJG524371:NJH524371 NTC524371:NTD524371 OCY524371:OCZ524371 OMU524371:OMV524371 OWQ524371:OWR524371 PGM524371:PGN524371 PQI524371:PQJ524371 QAE524371:QAF524371 QKA524371:QKB524371 QTW524371:QTX524371 RDS524371:RDT524371 RNO524371:RNP524371 RXK524371:RXL524371 SHG524371:SHH524371 SRC524371:SRD524371 TAY524371:TAZ524371 TKU524371:TKV524371 TUQ524371:TUR524371 UEM524371:UEN524371 UOI524371:UOJ524371 UYE524371:UYF524371 VIA524371:VIB524371 VRW524371:VRX524371 WBS524371:WBT524371 WLO524371:WLP524371 WVK524371:WVL524371 C589907:D589907 IY589907:IZ589907 SU589907:SV589907 ACQ589907:ACR589907 AMM589907:AMN589907 AWI589907:AWJ589907 BGE589907:BGF589907 BQA589907:BQB589907 BZW589907:BZX589907 CJS589907:CJT589907 CTO589907:CTP589907 DDK589907:DDL589907 DNG589907:DNH589907 DXC589907:DXD589907 EGY589907:EGZ589907 EQU589907:EQV589907 FAQ589907:FAR589907 FKM589907:FKN589907 FUI589907:FUJ589907 GEE589907:GEF589907 GOA589907:GOB589907 GXW589907:GXX589907 HHS589907:HHT589907 HRO589907:HRP589907 IBK589907:IBL589907 ILG589907:ILH589907 IVC589907:IVD589907 JEY589907:JEZ589907 JOU589907:JOV589907 JYQ589907:JYR589907 KIM589907:KIN589907 KSI589907:KSJ589907 LCE589907:LCF589907 LMA589907:LMB589907 LVW589907:LVX589907 MFS589907:MFT589907 MPO589907:MPP589907 MZK589907:MZL589907 NJG589907:NJH589907 NTC589907:NTD589907 OCY589907:OCZ589907 OMU589907:OMV589907 OWQ589907:OWR589907 PGM589907:PGN589907 PQI589907:PQJ589907 QAE589907:QAF589907 QKA589907:QKB589907 QTW589907:QTX589907 RDS589907:RDT589907 RNO589907:RNP589907 RXK589907:RXL589907 SHG589907:SHH589907 SRC589907:SRD589907 TAY589907:TAZ589907 TKU589907:TKV589907 TUQ589907:TUR589907 UEM589907:UEN589907 UOI589907:UOJ589907 UYE589907:UYF589907 VIA589907:VIB589907 VRW589907:VRX589907 WBS589907:WBT589907 WLO589907:WLP589907 WVK589907:WVL589907 C655443:D655443 IY655443:IZ655443 SU655443:SV655443 ACQ655443:ACR655443 AMM655443:AMN655443 AWI655443:AWJ655443 BGE655443:BGF655443 BQA655443:BQB655443 BZW655443:BZX655443 CJS655443:CJT655443 CTO655443:CTP655443 DDK655443:DDL655443 DNG655443:DNH655443 DXC655443:DXD655443 EGY655443:EGZ655443 EQU655443:EQV655443 FAQ655443:FAR655443 FKM655443:FKN655443 FUI655443:FUJ655443 GEE655443:GEF655443 GOA655443:GOB655443 GXW655443:GXX655443 HHS655443:HHT655443 HRO655443:HRP655443 IBK655443:IBL655443 ILG655443:ILH655443 IVC655443:IVD655443 JEY655443:JEZ655443 JOU655443:JOV655443 JYQ655443:JYR655443 KIM655443:KIN655443 KSI655443:KSJ655443 LCE655443:LCF655443 LMA655443:LMB655443 LVW655443:LVX655443 MFS655443:MFT655443 MPO655443:MPP655443 MZK655443:MZL655443 NJG655443:NJH655443 NTC655443:NTD655443 OCY655443:OCZ655443 OMU655443:OMV655443 OWQ655443:OWR655443 PGM655443:PGN655443 PQI655443:PQJ655443 QAE655443:QAF655443 QKA655443:QKB655443 QTW655443:QTX655443 RDS655443:RDT655443 RNO655443:RNP655443 RXK655443:RXL655443 SHG655443:SHH655443 SRC655443:SRD655443 TAY655443:TAZ655443 TKU655443:TKV655443 TUQ655443:TUR655443 UEM655443:UEN655443 UOI655443:UOJ655443 UYE655443:UYF655443 VIA655443:VIB655443 VRW655443:VRX655443 WBS655443:WBT655443 WLO655443:WLP655443 WVK655443:WVL655443 C720979:D720979 IY720979:IZ720979 SU720979:SV720979 ACQ720979:ACR720979 AMM720979:AMN720979 AWI720979:AWJ720979 BGE720979:BGF720979 BQA720979:BQB720979 BZW720979:BZX720979 CJS720979:CJT720979 CTO720979:CTP720979 DDK720979:DDL720979 DNG720979:DNH720979 DXC720979:DXD720979 EGY720979:EGZ720979 EQU720979:EQV720979 FAQ720979:FAR720979 FKM720979:FKN720979 FUI720979:FUJ720979 GEE720979:GEF720979 GOA720979:GOB720979 GXW720979:GXX720979 HHS720979:HHT720979 HRO720979:HRP720979 IBK720979:IBL720979 ILG720979:ILH720979 IVC720979:IVD720979 JEY720979:JEZ720979 JOU720979:JOV720979 JYQ720979:JYR720979 KIM720979:KIN720979 KSI720979:KSJ720979 LCE720979:LCF720979 LMA720979:LMB720979 LVW720979:LVX720979 MFS720979:MFT720979 MPO720979:MPP720979 MZK720979:MZL720979 NJG720979:NJH720979 NTC720979:NTD720979 OCY720979:OCZ720979 OMU720979:OMV720979 OWQ720979:OWR720979 PGM720979:PGN720979 PQI720979:PQJ720979 QAE720979:QAF720979 QKA720979:QKB720979 QTW720979:QTX720979 RDS720979:RDT720979 RNO720979:RNP720979 RXK720979:RXL720979 SHG720979:SHH720979 SRC720979:SRD720979 TAY720979:TAZ720979 TKU720979:TKV720979 TUQ720979:TUR720979 UEM720979:UEN720979 UOI720979:UOJ720979 UYE720979:UYF720979 VIA720979:VIB720979 VRW720979:VRX720979 WBS720979:WBT720979 WLO720979:WLP720979 WVK720979:WVL720979 C786515:D786515 IY786515:IZ786515 SU786515:SV786515 ACQ786515:ACR786515 AMM786515:AMN786515 AWI786515:AWJ786515 BGE786515:BGF786515 BQA786515:BQB786515 BZW786515:BZX786515 CJS786515:CJT786515 CTO786515:CTP786515 DDK786515:DDL786515 DNG786515:DNH786515 DXC786515:DXD786515 EGY786515:EGZ786515 EQU786515:EQV786515 FAQ786515:FAR786515 FKM786515:FKN786515 FUI786515:FUJ786515 GEE786515:GEF786515 GOA786515:GOB786515 GXW786515:GXX786515 HHS786515:HHT786515 HRO786515:HRP786515 IBK786515:IBL786515 ILG786515:ILH786515 IVC786515:IVD786515 JEY786515:JEZ786515 JOU786515:JOV786515 JYQ786515:JYR786515 KIM786515:KIN786515 KSI786515:KSJ786515 LCE786515:LCF786515 LMA786515:LMB786515 LVW786515:LVX786515 MFS786515:MFT786515 MPO786515:MPP786515 MZK786515:MZL786515 NJG786515:NJH786515 NTC786515:NTD786515 OCY786515:OCZ786515 OMU786515:OMV786515 OWQ786515:OWR786515 PGM786515:PGN786515 PQI786515:PQJ786515 QAE786515:QAF786515 QKA786515:QKB786515 QTW786515:QTX786515 RDS786515:RDT786515 RNO786515:RNP786515 RXK786515:RXL786515 SHG786515:SHH786515 SRC786515:SRD786515 TAY786515:TAZ786515 TKU786515:TKV786515 TUQ786515:TUR786515 UEM786515:UEN786515 UOI786515:UOJ786515 UYE786515:UYF786515 VIA786515:VIB786515 VRW786515:VRX786515 WBS786515:WBT786515 WLO786515:WLP786515 WVK786515:WVL786515 C852051:D852051 IY852051:IZ852051 SU852051:SV852051 ACQ852051:ACR852051 AMM852051:AMN852051 AWI852051:AWJ852051 BGE852051:BGF852051 BQA852051:BQB852051 BZW852051:BZX852051 CJS852051:CJT852051 CTO852051:CTP852051 DDK852051:DDL852051 DNG852051:DNH852051 DXC852051:DXD852051 EGY852051:EGZ852051 EQU852051:EQV852051 FAQ852051:FAR852051 FKM852051:FKN852051 FUI852051:FUJ852051 GEE852051:GEF852051 GOA852051:GOB852051 GXW852051:GXX852051 HHS852051:HHT852051 HRO852051:HRP852051 IBK852051:IBL852051 ILG852051:ILH852051 IVC852051:IVD852051 JEY852051:JEZ852051 JOU852051:JOV852051 JYQ852051:JYR852051 KIM852051:KIN852051 KSI852051:KSJ852051 LCE852051:LCF852051 LMA852051:LMB852051 LVW852051:LVX852051 MFS852051:MFT852051 MPO852051:MPP852051 MZK852051:MZL852051 NJG852051:NJH852051 NTC852051:NTD852051 OCY852051:OCZ852051 OMU852051:OMV852051 OWQ852051:OWR852051 PGM852051:PGN852051 PQI852051:PQJ852051 QAE852051:QAF852051 QKA852051:QKB852051 QTW852051:QTX852051 RDS852051:RDT852051 RNO852051:RNP852051 RXK852051:RXL852051 SHG852051:SHH852051 SRC852051:SRD852051 TAY852051:TAZ852051 TKU852051:TKV852051 TUQ852051:TUR852051 UEM852051:UEN852051 UOI852051:UOJ852051 UYE852051:UYF852051 VIA852051:VIB852051 VRW852051:VRX852051 WBS852051:WBT852051 WLO852051:WLP852051 WVK852051:WVL852051 C917587:D917587 IY917587:IZ917587 SU917587:SV917587 ACQ917587:ACR917587 AMM917587:AMN917587 AWI917587:AWJ917587 BGE917587:BGF917587 BQA917587:BQB917587 BZW917587:BZX917587 CJS917587:CJT917587 CTO917587:CTP917587 DDK917587:DDL917587 DNG917587:DNH917587 DXC917587:DXD917587 EGY917587:EGZ917587 EQU917587:EQV917587 FAQ917587:FAR917587 FKM917587:FKN917587 FUI917587:FUJ917587 GEE917587:GEF917587 GOA917587:GOB917587 GXW917587:GXX917587 HHS917587:HHT917587 HRO917587:HRP917587 IBK917587:IBL917587 ILG917587:ILH917587 IVC917587:IVD917587 JEY917587:JEZ917587 JOU917587:JOV917587 JYQ917587:JYR917587 KIM917587:KIN917587 KSI917587:KSJ917587 LCE917587:LCF917587 LMA917587:LMB917587 LVW917587:LVX917587 MFS917587:MFT917587 MPO917587:MPP917587 MZK917587:MZL917587 NJG917587:NJH917587 NTC917587:NTD917587 OCY917587:OCZ917587 OMU917587:OMV917587 OWQ917587:OWR917587 PGM917587:PGN917587 PQI917587:PQJ917587 QAE917587:QAF917587 QKA917587:QKB917587 QTW917587:QTX917587 RDS917587:RDT917587 RNO917587:RNP917587 RXK917587:RXL917587 SHG917587:SHH917587 SRC917587:SRD917587 TAY917587:TAZ917587 TKU917587:TKV917587 TUQ917587:TUR917587 UEM917587:UEN917587 UOI917587:UOJ917587 UYE917587:UYF917587 VIA917587:VIB917587 VRW917587:VRX917587 WBS917587:WBT917587 WLO917587:WLP917587 WVK917587:WVL917587 C983123:D983123 IY983123:IZ983123 SU983123:SV983123 ACQ983123:ACR983123 AMM983123:AMN983123 AWI983123:AWJ983123 BGE983123:BGF983123 BQA983123:BQB983123 BZW983123:BZX983123 CJS983123:CJT983123 CTO983123:CTP983123 DDK983123:DDL983123 DNG983123:DNH983123 DXC983123:DXD983123 EGY983123:EGZ983123 EQU983123:EQV983123 FAQ983123:FAR983123 FKM983123:FKN983123 FUI983123:FUJ983123 GEE983123:GEF983123 GOA983123:GOB983123 GXW983123:GXX983123 HHS983123:HHT983123 HRO983123:HRP983123 IBK983123:IBL983123 ILG983123:ILH983123 IVC983123:IVD983123 JEY983123:JEZ983123 JOU983123:JOV983123 JYQ983123:JYR983123 KIM983123:KIN983123 KSI983123:KSJ983123 LCE983123:LCF983123 LMA983123:LMB983123 LVW983123:LVX983123 MFS983123:MFT983123 MPO983123:MPP983123 MZK983123:MZL983123 NJG983123:NJH983123 NTC983123:NTD983123 OCY983123:OCZ983123 OMU983123:OMV983123 OWQ983123:OWR983123 PGM983123:PGN983123 PQI983123:PQJ983123 QAE983123:QAF983123 QKA983123:QKB983123 QTW983123:QTX983123 RDS983123:RDT983123 RNO983123:RNP983123 RXK983123:RXL983123 SHG983123:SHH983123 SRC983123:SRD983123 TAY983123:TAZ983123 TKU983123:TKV983123 TUQ983123:TUR983123 UEM983123:UEN983123 UOI983123:UOJ983123 UYE983123:UYF983123 VIA983123:VIB983123 VRW983123:VRX983123 WBS983123:WBT983123 WLO983123:WLP983123 WVK983123:WVL983123 E50:E51 JA50:JA51 SW50:SW51 ACS50:ACS51 AMO50:AMO51 AWK50:AWK51 BGG50:BGG51 BQC50:BQC51 BZY50:BZY51 CJU50:CJU51 CTQ50:CTQ51 DDM50:DDM51 DNI50:DNI51 DXE50:DXE51 EHA50:EHA51 EQW50:EQW51 FAS50:FAS51 FKO50:FKO51 FUK50:FUK51 GEG50:GEG51 GOC50:GOC51 GXY50:GXY51 HHU50:HHU51 HRQ50:HRQ51 IBM50:IBM51 ILI50:ILI51 IVE50:IVE51 JFA50:JFA51 JOW50:JOW51 JYS50:JYS51 KIO50:KIO51 KSK50:KSK51 LCG50:LCG51 LMC50:LMC51 LVY50:LVY51 MFU50:MFU51 MPQ50:MPQ51 MZM50:MZM51 NJI50:NJI51 NTE50:NTE51 ODA50:ODA51 OMW50:OMW51 OWS50:OWS51 PGO50:PGO51 PQK50:PQK51 QAG50:QAG51 QKC50:QKC51 QTY50:QTY51 RDU50:RDU51 RNQ50:RNQ51 RXM50:RXM51 SHI50:SHI51 SRE50:SRE51 TBA50:TBA51 TKW50:TKW51 TUS50:TUS51 UEO50:UEO51 UOK50:UOK51 UYG50:UYG51 VIC50:VIC51 VRY50:VRY51 WBU50:WBU51 WLQ50:WLQ51 WVM50:WVM51 E65586:E65587 JA65586:JA65587 SW65586:SW65587 ACS65586:ACS65587 AMO65586:AMO65587 AWK65586:AWK65587 BGG65586:BGG65587 BQC65586:BQC65587 BZY65586:BZY65587 CJU65586:CJU65587 CTQ65586:CTQ65587 DDM65586:DDM65587 DNI65586:DNI65587 DXE65586:DXE65587 EHA65586:EHA65587 EQW65586:EQW65587 FAS65586:FAS65587 FKO65586:FKO65587 FUK65586:FUK65587 GEG65586:GEG65587 GOC65586:GOC65587 GXY65586:GXY65587 HHU65586:HHU65587 HRQ65586:HRQ65587 IBM65586:IBM65587 ILI65586:ILI65587 IVE65586:IVE65587 JFA65586:JFA65587 JOW65586:JOW65587 JYS65586:JYS65587 KIO65586:KIO65587 KSK65586:KSK65587 LCG65586:LCG65587 LMC65586:LMC65587 LVY65586:LVY65587 MFU65586:MFU65587 MPQ65586:MPQ65587 MZM65586:MZM65587 NJI65586:NJI65587 NTE65586:NTE65587 ODA65586:ODA65587 OMW65586:OMW65587 OWS65586:OWS65587 PGO65586:PGO65587 PQK65586:PQK65587 QAG65586:QAG65587 QKC65586:QKC65587 QTY65586:QTY65587 RDU65586:RDU65587 RNQ65586:RNQ65587 RXM65586:RXM65587 SHI65586:SHI65587 SRE65586:SRE65587 TBA65586:TBA65587 TKW65586:TKW65587 TUS65586:TUS65587 UEO65586:UEO65587 UOK65586:UOK65587 UYG65586:UYG65587 VIC65586:VIC65587 VRY65586:VRY65587 WBU65586:WBU65587 WLQ65586:WLQ65587 WVM65586:WVM65587 E131122:E131123 JA131122:JA131123 SW131122:SW131123 ACS131122:ACS131123 AMO131122:AMO131123 AWK131122:AWK131123 BGG131122:BGG131123 BQC131122:BQC131123 BZY131122:BZY131123 CJU131122:CJU131123 CTQ131122:CTQ131123 DDM131122:DDM131123 DNI131122:DNI131123 DXE131122:DXE131123 EHA131122:EHA131123 EQW131122:EQW131123 FAS131122:FAS131123 FKO131122:FKO131123 FUK131122:FUK131123 GEG131122:GEG131123 GOC131122:GOC131123 GXY131122:GXY131123 HHU131122:HHU131123 HRQ131122:HRQ131123 IBM131122:IBM131123 ILI131122:ILI131123 IVE131122:IVE131123 JFA131122:JFA131123 JOW131122:JOW131123 JYS131122:JYS131123 KIO131122:KIO131123 KSK131122:KSK131123 LCG131122:LCG131123 LMC131122:LMC131123 LVY131122:LVY131123 MFU131122:MFU131123 MPQ131122:MPQ131123 MZM131122:MZM131123 NJI131122:NJI131123 NTE131122:NTE131123 ODA131122:ODA131123 OMW131122:OMW131123 OWS131122:OWS131123 PGO131122:PGO131123 PQK131122:PQK131123 QAG131122:QAG131123 QKC131122:QKC131123 QTY131122:QTY131123 RDU131122:RDU131123 RNQ131122:RNQ131123 RXM131122:RXM131123 SHI131122:SHI131123 SRE131122:SRE131123 TBA131122:TBA131123 TKW131122:TKW131123 TUS131122:TUS131123 UEO131122:UEO131123 UOK131122:UOK131123 UYG131122:UYG131123 VIC131122:VIC131123 VRY131122:VRY131123 WBU131122:WBU131123 WLQ131122:WLQ131123 WVM131122:WVM131123 E196658:E196659 JA196658:JA196659 SW196658:SW196659 ACS196658:ACS196659 AMO196658:AMO196659 AWK196658:AWK196659 BGG196658:BGG196659 BQC196658:BQC196659 BZY196658:BZY196659 CJU196658:CJU196659 CTQ196658:CTQ196659 DDM196658:DDM196659 DNI196658:DNI196659 DXE196658:DXE196659 EHA196658:EHA196659 EQW196658:EQW196659 FAS196658:FAS196659 FKO196658:FKO196659 FUK196658:FUK196659 GEG196658:GEG196659 GOC196658:GOC196659 GXY196658:GXY196659 HHU196658:HHU196659 HRQ196658:HRQ196659 IBM196658:IBM196659 ILI196658:ILI196659 IVE196658:IVE196659 JFA196658:JFA196659 JOW196658:JOW196659 JYS196658:JYS196659 KIO196658:KIO196659 KSK196658:KSK196659 LCG196658:LCG196659 LMC196658:LMC196659 LVY196658:LVY196659 MFU196658:MFU196659 MPQ196658:MPQ196659 MZM196658:MZM196659 NJI196658:NJI196659 NTE196658:NTE196659 ODA196658:ODA196659 OMW196658:OMW196659 OWS196658:OWS196659 PGO196658:PGO196659 PQK196658:PQK196659 QAG196658:QAG196659 QKC196658:QKC196659 QTY196658:QTY196659 RDU196658:RDU196659 RNQ196658:RNQ196659 RXM196658:RXM196659 SHI196658:SHI196659 SRE196658:SRE196659 TBA196658:TBA196659 TKW196658:TKW196659 TUS196658:TUS196659 UEO196658:UEO196659 UOK196658:UOK196659 UYG196658:UYG196659 VIC196658:VIC196659 VRY196658:VRY196659 WBU196658:WBU196659 WLQ196658:WLQ196659 WVM196658:WVM196659 E262194:E262195 JA262194:JA262195 SW262194:SW262195 ACS262194:ACS262195 AMO262194:AMO262195 AWK262194:AWK262195 BGG262194:BGG262195 BQC262194:BQC262195 BZY262194:BZY262195 CJU262194:CJU262195 CTQ262194:CTQ262195 DDM262194:DDM262195 DNI262194:DNI262195 DXE262194:DXE262195 EHA262194:EHA262195 EQW262194:EQW262195 FAS262194:FAS262195 FKO262194:FKO262195 FUK262194:FUK262195 GEG262194:GEG262195 GOC262194:GOC262195 GXY262194:GXY262195 HHU262194:HHU262195 HRQ262194:HRQ262195 IBM262194:IBM262195 ILI262194:ILI262195 IVE262194:IVE262195 JFA262194:JFA262195 JOW262194:JOW262195 JYS262194:JYS262195 KIO262194:KIO262195 KSK262194:KSK262195 LCG262194:LCG262195 LMC262194:LMC262195 LVY262194:LVY262195 MFU262194:MFU262195 MPQ262194:MPQ262195 MZM262194:MZM262195 NJI262194:NJI262195 NTE262194:NTE262195 ODA262194:ODA262195 OMW262194:OMW262195 OWS262194:OWS262195 PGO262194:PGO262195 PQK262194:PQK262195 QAG262194:QAG262195 QKC262194:QKC262195 QTY262194:QTY262195 RDU262194:RDU262195 RNQ262194:RNQ262195 RXM262194:RXM262195 SHI262194:SHI262195 SRE262194:SRE262195 TBA262194:TBA262195 TKW262194:TKW262195 TUS262194:TUS262195 UEO262194:UEO262195 UOK262194:UOK262195 UYG262194:UYG262195 VIC262194:VIC262195 VRY262194:VRY262195 WBU262194:WBU262195 WLQ262194:WLQ262195 WVM262194:WVM262195 E327730:E327731 JA327730:JA327731 SW327730:SW327731 ACS327730:ACS327731 AMO327730:AMO327731 AWK327730:AWK327731 BGG327730:BGG327731 BQC327730:BQC327731 BZY327730:BZY327731 CJU327730:CJU327731 CTQ327730:CTQ327731 DDM327730:DDM327731 DNI327730:DNI327731 DXE327730:DXE327731 EHA327730:EHA327731 EQW327730:EQW327731 FAS327730:FAS327731 FKO327730:FKO327731 FUK327730:FUK327731 GEG327730:GEG327731 GOC327730:GOC327731 GXY327730:GXY327731 HHU327730:HHU327731 HRQ327730:HRQ327731 IBM327730:IBM327731 ILI327730:ILI327731 IVE327730:IVE327731 JFA327730:JFA327731 JOW327730:JOW327731 JYS327730:JYS327731 KIO327730:KIO327731 KSK327730:KSK327731 LCG327730:LCG327731 LMC327730:LMC327731 LVY327730:LVY327731 MFU327730:MFU327731 MPQ327730:MPQ327731 MZM327730:MZM327731 NJI327730:NJI327731 NTE327730:NTE327731 ODA327730:ODA327731 OMW327730:OMW327731 OWS327730:OWS327731 PGO327730:PGO327731 PQK327730:PQK327731 QAG327730:QAG327731 QKC327730:QKC327731 QTY327730:QTY327731 RDU327730:RDU327731 RNQ327730:RNQ327731 RXM327730:RXM327731 SHI327730:SHI327731 SRE327730:SRE327731 TBA327730:TBA327731 TKW327730:TKW327731 TUS327730:TUS327731 UEO327730:UEO327731 UOK327730:UOK327731 UYG327730:UYG327731 VIC327730:VIC327731 VRY327730:VRY327731 WBU327730:WBU327731 WLQ327730:WLQ327731 WVM327730:WVM327731 E393266:E393267 JA393266:JA393267 SW393266:SW393267 ACS393266:ACS393267 AMO393266:AMO393267 AWK393266:AWK393267 BGG393266:BGG393267 BQC393266:BQC393267 BZY393266:BZY393267 CJU393266:CJU393267 CTQ393266:CTQ393267 DDM393266:DDM393267 DNI393266:DNI393267 DXE393266:DXE393267 EHA393266:EHA393267 EQW393266:EQW393267 FAS393266:FAS393267 FKO393266:FKO393267 FUK393266:FUK393267 GEG393266:GEG393267 GOC393266:GOC393267 GXY393266:GXY393267 HHU393266:HHU393267 HRQ393266:HRQ393267 IBM393266:IBM393267 ILI393266:ILI393267 IVE393266:IVE393267 JFA393266:JFA393267 JOW393266:JOW393267 JYS393266:JYS393267 KIO393266:KIO393267 KSK393266:KSK393267 LCG393266:LCG393267 LMC393266:LMC393267 LVY393266:LVY393267 MFU393266:MFU393267 MPQ393266:MPQ393267 MZM393266:MZM393267 NJI393266:NJI393267 NTE393266:NTE393267 ODA393266:ODA393267 OMW393266:OMW393267 OWS393266:OWS393267 PGO393266:PGO393267 PQK393266:PQK393267 QAG393266:QAG393267 QKC393266:QKC393267 QTY393266:QTY393267 RDU393266:RDU393267 RNQ393266:RNQ393267 RXM393266:RXM393267 SHI393266:SHI393267 SRE393266:SRE393267 TBA393266:TBA393267 TKW393266:TKW393267 TUS393266:TUS393267 UEO393266:UEO393267 UOK393266:UOK393267 UYG393266:UYG393267 VIC393266:VIC393267 VRY393266:VRY393267 WBU393266:WBU393267 WLQ393266:WLQ393267 WVM393266:WVM393267 E458802:E458803 JA458802:JA458803 SW458802:SW458803 ACS458802:ACS458803 AMO458802:AMO458803 AWK458802:AWK458803 BGG458802:BGG458803 BQC458802:BQC458803 BZY458802:BZY458803 CJU458802:CJU458803 CTQ458802:CTQ458803 DDM458802:DDM458803 DNI458802:DNI458803 DXE458802:DXE458803 EHA458802:EHA458803 EQW458802:EQW458803 FAS458802:FAS458803 FKO458802:FKO458803 FUK458802:FUK458803 GEG458802:GEG458803 GOC458802:GOC458803 GXY458802:GXY458803 HHU458802:HHU458803 HRQ458802:HRQ458803 IBM458802:IBM458803 ILI458802:ILI458803 IVE458802:IVE458803 JFA458802:JFA458803 JOW458802:JOW458803 JYS458802:JYS458803 KIO458802:KIO458803 KSK458802:KSK458803 LCG458802:LCG458803 LMC458802:LMC458803 LVY458802:LVY458803 MFU458802:MFU458803 MPQ458802:MPQ458803 MZM458802:MZM458803 NJI458802:NJI458803 NTE458802:NTE458803 ODA458802:ODA458803 OMW458802:OMW458803 OWS458802:OWS458803 PGO458802:PGO458803 PQK458802:PQK458803 QAG458802:QAG458803 QKC458802:QKC458803 QTY458802:QTY458803 RDU458802:RDU458803 RNQ458802:RNQ458803 RXM458802:RXM458803 SHI458802:SHI458803 SRE458802:SRE458803 TBA458802:TBA458803 TKW458802:TKW458803 TUS458802:TUS458803 UEO458802:UEO458803 UOK458802:UOK458803 UYG458802:UYG458803 VIC458802:VIC458803 VRY458802:VRY458803 WBU458802:WBU458803 WLQ458802:WLQ458803 WVM458802:WVM458803 E524338:E524339 JA524338:JA524339 SW524338:SW524339 ACS524338:ACS524339 AMO524338:AMO524339 AWK524338:AWK524339 BGG524338:BGG524339 BQC524338:BQC524339 BZY524338:BZY524339 CJU524338:CJU524339 CTQ524338:CTQ524339 DDM524338:DDM524339 DNI524338:DNI524339 DXE524338:DXE524339 EHA524338:EHA524339 EQW524338:EQW524339 FAS524338:FAS524339 FKO524338:FKO524339 FUK524338:FUK524339 GEG524338:GEG524339 GOC524338:GOC524339 GXY524338:GXY524339 HHU524338:HHU524339 HRQ524338:HRQ524339 IBM524338:IBM524339 ILI524338:ILI524339 IVE524338:IVE524339 JFA524338:JFA524339 JOW524338:JOW524339 JYS524338:JYS524339 KIO524338:KIO524339 KSK524338:KSK524339 LCG524338:LCG524339 LMC524338:LMC524339 LVY524338:LVY524339 MFU524338:MFU524339 MPQ524338:MPQ524339 MZM524338:MZM524339 NJI524338:NJI524339 NTE524338:NTE524339 ODA524338:ODA524339 OMW524338:OMW524339 OWS524338:OWS524339 PGO524338:PGO524339 PQK524338:PQK524339 QAG524338:QAG524339 QKC524338:QKC524339 QTY524338:QTY524339 RDU524338:RDU524339 RNQ524338:RNQ524339 RXM524338:RXM524339 SHI524338:SHI524339 SRE524338:SRE524339 TBA524338:TBA524339 TKW524338:TKW524339 TUS524338:TUS524339 UEO524338:UEO524339 UOK524338:UOK524339 UYG524338:UYG524339 VIC524338:VIC524339 VRY524338:VRY524339 WBU524338:WBU524339 WLQ524338:WLQ524339 WVM524338:WVM524339 E589874:E589875 JA589874:JA589875 SW589874:SW589875 ACS589874:ACS589875 AMO589874:AMO589875 AWK589874:AWK589875 BGG589874:BGG589875 BQC589874:BQC589875 BZY589874:BZY589875 CJU589874:CJU589875 CTQ589874:CTQ589875 DDM589874:DDM589875 DNI589874:DNI589875 DXE589874:DXE589875 EHA589874:EHA589875 EQW589874:EQW589875 FAS589874:FAS589875 FKO589874:FKO589875 FUK589874:FUK589875 GEG589874:GEG589875 GOC589874:GOC589875 GXY589874:GXY589875 HHU589874:HHU589875 HRQ589874:HRQ589875 IBM589874:IBM589875 ILI589874:ILI589875 IVE589874:IVE589875 JFA589874:JFA589875 JOW589874:JOW589875 JYS589874:JYS589875 KIO589874:KIO589875 KSK589874:KSK589875 LCG589874:LCG589875 LMC589874:LMC589875 LVY589874:LVY589875 MFU589874:MFU589875 MPQ589874:MPQ589875 MZM589874:MZM589875 NJI589874:NJI589875 NTE589874:NTE589875 ODA589874:ODA589875 OMW589874:OMW589875 OWS589874:OWS589875 PGO589874:PGO589875 PQK589874:PQK589875 QAG589874:QAG589875 QKC589874:QKC589875 QTY589874:QTY589875 RDU589874:RDU589875 RNQ589874:RNQ589875 RXM589874:RXM589875 SHI589874:SHI589875 SRE589874:SRE589875 TBA589874:TBA589875 TKW589874:TKW589875 TUS589874:TUS589875 UEO589874:UEO589875 UOK589874:UOK589875 UYG589874:UYG589875 VIC589874:VIC589875 VRY589874:VRY589875 WBU589874:WBU589875 WLQ589874:WLQ589875 WVM589874:WVM589875 E655410:E655411 JA655410:JA655411 SW655410:SW655411 ACS655410:ACS655411 AMO655410:AMO655411 AWK655410:AWK655411 BGG655410:BGG655411 BQC655410:BQC655411 BZY655410:BZY655411 CJU655410:CJU655411 CTQ655410:CTQ655411 DDM655410:DDM655411 DNI655410:DNI655411 DXE655410:DXE655411 EHA655410:EHA655411 EQW655410:EQW655411 FAS655410:FAS655411 FKO655410:FKO655411 FUK655410:FUK655411 GEG655410:GEG655411 GOC655410:GOC655411 GXY655410:GXY655411 HHU655410:HHU655411 HRQ655410:HRQ655411 IBM655410:IBM655411 ILI655410:ILI655411 IVE655410:IVE655411 JFA655410:JFA655411 JOW655410:JOW655411 JYS655410:JYS655411 KIO655410:KIO655411 KSK655410:KSK655411 LCG655410:LCG655411 LMC655410:LMC655411 LVY655410:LVY655411 MFU655410:MFU655411 MPQ655410:MPQ655411 MZM655410:MZM655411 NJI655410:NJI655411 NTE655410:NTE655411 ODA655410:ODA655411 OMW655410:OMW655411 OWS655410:OWS655411 PGO655410:PGO655411 PQK655410:PQK655411 QAG655410:QAG655411 QKC655410:QKC655411 QTY655410:QTY655411 RDU655410:RDU655411 RNQ655410:RNQ655411 RXM655410:RXM655411 SHI655410:SHI655411 SRE655410:SRE655411 TBA655410:TBA655411 TKW655410:TKW655411 TUS655410:TUS655411 UEO655410:UEO655411 UOK655410:UOK655411 UYG655410:UYG655411 VIC655410:VIC655411 VRY655410:VRY655411 WBU655410:WBU655411 WLQ655410:WLQ655411 WVM655410:WVM655411 E720946:E720947 JA720946:JA720947 SW720946:SW720947 ACS720946:ACS720947 AMO720946:AMO720947 AWK720946:AWK720947 BGG720946:BGG720947 BQC720946:BQC720947 BZY720946:BZY720947 CJU720946:CJU720947 CTQ720946:CTQ720947 DDM720946:DDM720947 DNI720946:DNI720947 DXE720946:DXE720947 EHA720946:EHA720947 EQW720946:EQW720947 FAS720946:FAS720947 FKO720946:FKO720947 FUK720946:FUK720947 GEG720946:GEG720947 GOC720946:GOC720947 GXY720946:GXY720947 HHU720946:HHU720947 HRQ720946:HRQ720947 IBM720946:IBM720947 ILI720946:ILI720947 IVE720946:IVE720947 JFA720946:JFA720947 JOW720946:JOW720947 JYS720946:JYS720947 KIO720946:KIO720947 KSK720946:KSK720947 LCG720946:LCG720947 LMC720946:LMC720947 LVY720946:LVY720947 MFU720946:MFU720947 MPQ720946:MPQ720947 MZM720946:MZM720947 NJI720946:NJI720947 NTE720946:NTE720947 ODA720946:ODA720947 OMW720946:OMW720947 OWS720946:OWS720947 PGO720946:PGO720947 PQK720946:PQK720947 QAG720946:QAG720947 QKC720946:QKC720947 QTY720946:QTY720947 RDU720946:RDU720947 RNQ720946:RNQ720947 RXM720946:RXM720947 SHI720946:SHI720947 SRE720946:SRE720947 TBA720946:TBA720947 TKW720946:TKW720947 TUS720946:TUS720947 UEO720946:UEO720947 UOK720946:UOK720947 UYG720946:UYG720947 VIC720946:VIC720947 VRY720946:VRY720947 WBU720946:WBU720947 WLQ720946:WLQ720947 WVM720946:WVM720947 E786482:E786483 JA786482:JA786483 SW786482:SW786483 ACS786482:ACS786483 AMO786482:AMO786483 AWK786482:AWK786483 BGG786482:BGG786483 BQC786482:BQC786483 BZY786482:BZY786483 CJU786482:CJU786483 CTQ786482:CTQ786483 DDM786482:DDM786483 DNI786482:DNI786483 DXE786482:DXE786483 EHA786482:EHA786483 EQW786482:EQW786483 FAS786482:FAS786483 FKO786482:FKO786483 FUK786482:FUK786483 GEG786482:GEG786483 GOC786482:GOC786483 GXY786482:GXY786483 HHU786482:HHU786483 HRQ786482:HRQ786483 IBM786482:IBM786483 ILI786482:ILI786483 IVE786482:IVE786483 JFA786482:JFA786483 JOW786482:JOW786483 JYS786482:JYS786483 KIO786482:KIO786483 KSK786482:KSK786483 LCG786482:LCG786483 LMC786482:LMC786483 LVY786482:LVY786483 MFU786482:MFU786483 MPQ786482:MPQ786483 MZM786482:MZM786483 NJI786482:NJI786483 NTE786482:NTE786483 ODA786482:ODA786483 OMW786482:OMW786483 OWS786482:OWS786483 PGO786482:PGO786483 PQK786482:PQK786483 QAG786482:QAG786483 QKC786482:QKC786483 QTY786482:QTY786483 RDU786482:RDU786483 RNQ786482:RNQ786483 RXM786482:RXM786483 SHI786482:SHI786483 SRE786482:SRE786483 TBA786482:TBA786483 TKW786482:TKW786483 TUS786482:TUS786483 UEO786482:UEO786483 UOK786482:UOK786483 UYG786482:UYG786483 VIC786482:VIC786483 VRY786482:VRY786483 WBU786482:WBU786483 WLQ786482:WLQ786483 WVM786482:WVM786483 E852018:E852019 JA852018:JA852019 SW852018:SW852019 ACS852018:ACS852019 AMO852018:AMO852019 AWK852018:AWK852019 BGG852018:BGG852019 BQC852018:BQC852019 BZY852018:BZY852019 CJU852018:CJU852019 CTQ852018:CTQ852019 DDM852018:DDM852019 DNI852018:DNI852019 DXE852018:DXE852019 EHA852018:EHA852019 EQW852018:EQW852019 FAS852018:FAS852019 FKO852018:FKO852019 FUK852018:FUK852019 GEG852018:GEG852019 GOC852018:GOC852019 GXY852018:GXY852019 HHU852018:HHU852019 HRQ852018:HRQ852019 IBM852018:IBM852019 ILI852018:ILI852019 IVE852018:IVE852019 JFA852018:JFA852019 JOW852018:JOW852019 JYS852018:JYS852019 KIO852018:KIO852019 KSK852018:KSK852019 LCG852018:LCG852019 LMC852018:LMC852019 LVY852018:LVY852019 MFU852018:MFU852019 MPQ852018:MPQ852019 MZM852018:MZM852019 NJI852018:NJI852019 NTE852018:NTE852019 ODA852018:ODA852019 OMW852018:OMW852019 OWS852018:OWS852019 PGO852018:PGO852019 PQK852018:PQK852019 QAG852018:QAG852019 QKC852018:QKC852019 QTY852018:QTY852019 RDU852018:RDU852019 RNQ852018:RNQ852019 RXM852018:RXM852019 SHI852018:SHI852019 SRE852018:SRE852019 TBA852018:TBA852019 TKW852018:TKW852019 TUS852018:TUS852019 UEO852018:UEO852019 UOK852018:UOK852019 UYG852018:UYG852019 VIC852018:VIC852019 VRY852018:VRY852019 WBU852018:WBU852019 WLQ852018:WLQ852019 WVM852018:WVM852019 E917554:E917555 JA917554:JA917555 SW917554:SW917555 ACS917554:ACS917555 AMO917554:AMO917555 AWK917554:AWK917555 BGG917554:BGG917555 BQC917554:BQC917555 BZY917554:BZY917555 CJU917554:CJU917555 CTQ917554:CTQ917555 DDM917554:DDM917555 DNI917554:DNI917555 DXE917554:DXE917555 EHA917554:EHA917555 EQW917554:EQW917555 FAS917554:FAS917555 FKO917554:FKO917555 FUK917554:FUK917555 GEG917554:GEG917555 GOC917554:GOC917555 GXY917554:GXY917555 HHU917554:HHU917555 HRQ917554:HRQ917555 IBM917554:IBM917555 ILI917554:ILI917555 IVE917554:IVE917555 JFA917554:JFA917555 JOW917554:JOW917555 JYS917554:JYS917555 KIO917554:KIO917555 KSK917554:KSK917555 LCG917554:LCG917555 LMC917554:LMC917555 LVY917554:LVY917555 MFU917554:MFU917555 MPQ917554:MPQ917555 MZM917554:MZM917555 NJI917554:NJI917555 NTE917554:NTE917555 ODA917554:ODA917555 OMW917554:OMW917555 OWS917554:OWS917555 PGO917554:PGO917555 PQK917554:PQK917555 QAG917554:QAG917555 QKC917554:QKC917555 QTY917554:QTY917555 RDU917554:RDU917555 RNQ917554:RNQ917555 RXM917554:RXM917555 SHI917554:SHI917555 SRE917554:SRE917555 TBA917554:TBA917555 TKW917554:TKW917555 TUS917554:TUS917555 UEO917554:UEO917555 UOK917554:UOK917555 UYG917554:UYG917555 VIC917554:VIC917555 VRY917554:VRY917555 WBU917554:WBU917555 WLQ917554:WLQ917555 WVM917554:WVM917555 E983090:E983091 JA983090:JA983091 SW983090:SW983091 ACS983090:ACS983091 AMO983090:AMO983091 AWK983090:AWK983091 BGG983090:BGG983091 BQC983090:BQC983091 BZY983090:BZY983091 CJU983090:CJU983091 CTQ983090:CTQ983091 DDM983090:DDM983091 DNI983090:DNI983091 DXE983090:DXE983091 EHA983090:EHA983091 EQW983090:EQW983091 FAS983090:FAS983091 FKO983090:FKO983091 FUK983090:FUK983091 GEG983090:GEG983091 GOC983090:GOC983091 GXY983090:GXY983091 HHU983090:HHU983091 HRQ983090:HRQ983091 IBM983090:IBM983091 ILI983090:ILI983091 IVE983090:IVE983091 JFA983090:JFA983091 JOW983090:JOW983091 JYS983090:JYS983091 KIO983090:KIO983091 KSK983090:KSK983091 LCG983090:LCG983091 LMC983090:LMC983091 LVY983090:LVY983091 MFU983090:MFU983091 MPQ983090:MPQ983091 MZM983090:MZM983091 NJI983090:NJI983091 NTE983090:NTE983091 ODA983090:ODA983091 OMW983090:OMW983091 OWS983090:OWS983091 PGO983090:PGO983091 PQK983090:PQK983091 QAG983090:QAG983091 QKC983090:QKC983091 QTY983090:QTY983091 RDU983090:RDU983091 RNQ983090:RNQ983091 RXM983090:RXM983091 SHI983090:SHI983091 SRE983090:SRE983091 TBA983090:TBA983091 TKW983090:TKW983091 TUS983090:TUS983091 UEO983090:UEO983091 UOK983090:UOK983091 UYG983090:UYG983091 VIC983090:VIC983091 VRY983090:VRY983091 WBU983090:WBU983091 WLQ983090:WLQ983091 WVM983090:WVM983091 C99:D99 IY99:IZ99 SU99:SV99 ACQ99:ACR99 AMM99:AMN99 AWI99:AWJ99 BGE99:BGF99 BQA99:BQB99 BZW99:BZX99 CJS99:CJT99 CTO99:CTP99 DDK99:DDL99 DNG99:DNH99 DXC99:DXD99 EGY99:EGZ99 EQU99:EQV99 FAQ99:FAR99 FKM99:FKN99 FUI99:FUJ99 GEE99:GEF99 GOA99:GOB99 GXW99:GXX99 HHS99:HHT99 HRO99:HRP99 IBK99:IBL99 ILG99:ILH99 IVC99:IVD99 JEY99:JEZ99 JOU99:JOV99 JYQ99:JYR99 KIM99:KIN99 KSI99:KSJ99 LCE99:LCF99 LMA99:LMB99 LVW99:LVX99 MFS99:MFT99 MPO99:MPP99 MZK99:MZL99 NJG99:NJH99 NTC99:NTD99 OCY99:OCZ99 OMU99:OMV99 OWQ99:OWR99 PGM99:PGN99 PQI99:PQJ99 QAE99:QAF99 QKA99:QKB99 QTW99:QTX99 RDS99:RDT99 RNO99:RNP99 RXK99:RXL99 SHG99:SHH99 SRC99:SRD99 TAY99:TAZ99 TKU99:TKV99 TUQ99:TUR99 UEM99:UEN99 UOI99:UOJ99 UYE99:UYF99 VIA99:VIB99 VRW99:VRX99 WBS99:WBT99 WLO99:WLP99 WVK99:WVL99 C65635:D65635 IY65635:IZ65635 SU65635:SV65635 ACQ65635:ACR65635 AMM65635:AMN65635 AWI65635:AWJ65635 BGE65635:BGF65635 BQA65635:BQB65635 BZW65635:BZX65635 CJS65635:CJT65635 CTO65635:CTP65635 DDK65635:DDL65635 DNG65635:DNH65635 DXC65635:DXD65635 EGY65635:EGZ65635 EQU65635:EQV65635 FAQ65635:FAR65635 FKM65635:FKN65635 FUI65635:FUJ65635 GEE65635:GEF65635 GOA65635:GOB65635 GXW65635:GXX65635 HHS65635:HHT65635 HRO65635:HRP65635 IBK65635:IBL65635 ILG65635:ILH65635 IVC65635:IVD65635 JEY65635:JEZ65635 JOU65635:JOV65635 JYQ65635:JYR65635 KIM65635:KIN65635 KSI65635:KSJ65635 LCE65635:LCF65635 LMA65635:LMB65635 LVW65635:LVX65635 MFS65635:MFT65635 MPO65635:MPP65635 MZK65635:MZL65635 NJG65635:NJH65635 NTC65635:NTD65635 OCY65635:OCZ65635 OMU65635:OMV65635 OWQ65635:OWR65635 PGM65635:PGN65635 PQI65635:PQJ65635 QAE65635:QAF65635 QKA65635:QKB65635 QTW65635:QTX65635 RDS65635:RDT65635 RNO65635:RNP65635 RXK65635:RXL65635 SHG65635:SHH65635 SRC65635:SRD65635 TAY65635:TAZ65635 TKU65635:TKV65635 TUQ65635:TUR65635 UEM65635:UEN65635 UOI65635:UOJ65635 UYE65635:UYF65635 VIA65635:VIB65635 VRW65635:VRX65635 WBS65635:WBT65635 WLO65635:WLP65635 WVK65635:WVL65635 C131171:D131171 IY131171:IZ131171 SU131171:SV131171 ACQ131171:ACR131171 AMM131171:AMN131171 AWI131171:AWJ131171 BGE131171:BGF131171 BQA131171:BQB131171 BZW131171:BZX131171 CJS131171:CJT131171 CTO131171:CTP131171 DDK131171:DDL131171 DNG131171:DNH131171 DXC131171:DXD131171 EGY131171:EGZ131171 EQU131171:EQV131171 FAQ131171:FAR131171 FKM131171:FKN131171 FUI131171:FUJ131171 GEE131171:GEF131171 GOA131171:GOB131171 GXW131171:GXX131171 HHS131171:HHT131171 HRO131171:HRP131171 IBK131171:IBL131171 ILG131171:ILH131171 IVC131171:IVD131171 JEY131171:JEZ131171 JOU131171:JOV131171 JYQ131171:JYR131171 KIM131171:KIN131171 KSI131171:KSJ131171 LCE131171:LCF131171 LMA131171:LMB131171 LVW131171:LVX131171 MFS131171:MFT131171 MPO131171:MPP131171 MZK131171:MZL131171 NJG131171:NJH131171 NTC131171:NTD131171 OCY131171:OCZ131171 OMU131171:OMV131171 OWQ131171:OWR131171 PGM131171:PGN131171 PQI131171:PQJ131171 QAE131171:QAF131171 QKA131171:QKB131171 QTW131171:QTX131171 RDS131171:RDT131171 RNO131171:RNP131171 RXK131171:RXL131171 SHG131171:SHH131171 SRC131171:SRD131171 TAY131171:TAZ131171 TKU131171:TKV131171 TUQ131171:TUR131171 UEM131171:UEN131171 UOI131171:UOJ131171 UYE131171:UYF131171 VIA131171:VIB131171 VRW131171:VRX131171 WBS131171:WBT131171 WLO131171:WLP131171 WVK131171:WVL131171 C196707:D196707 IY196707:IZ196707 SU196707:SV196707 ACQ196707:ACR196707 AMM196707:AMN196707 AWI196707:AWJ196707 BGE196707:BGF196707 BQA196707:BQB196707 BZW196707:BZX196707 CJS196707:CJT196707 CTO196707:CTP196707 DDK196707:DDL196707 DNG196707:DNH196707 DXC196707:DXD196707 EGY196707:EGZ196707 EQU196707:EQV196707 FAQ196707:FAR196707 FKM196707:FKN196707 FUI196707:FUJ196707 GEE196707:GEF196707 GOA196707:GOB196707 GXW196707:GXX196707 HHS196707:HHT196707 HRO196707:HRP196707 IBK196707:IBL196707 ILG196707:ILH196707 IVC196707:IVD196707 JEY196707:JEZ196707 JOU196707:JOV196707 JYQ196707:JYR196707 KIM196707:KIN196707 KSI196707:KSJ196707 LCE196707:LCF196707 LMA196707:LMB196707 LVW196707:LVX196707 MFS196707:MFT196707 MPO196707:MPP196707 MZK196707:MZL196707 NJG196707:NJH196707 NTC196707:NTD196707 OCY196707:OCZ196707 OMU196707:OMV196707 OWQ196707:OWR196707 PGM196707:PGN196707 PQI196707:PQJ196707 QAE196707:QAF196707 QKA196707:QKB196707 QTW196707:QTX196707 RDS196707:RDT196707 RNO196707:RNP196707 RXK196707:RXL196707 SHG196707:SHH196707 SRC196707:SRD196707 TAY196707:TAZ196707 TKU196707:TKV196707 TUQ196707:TUR196707 UEM196707:UEN196707 UOI196707:UOJ196707 UYE196707:UYF196707 VIA196707:VIB196707 VRW196707:VRX196707 WBS196707:WBT196707 WLO196707:WLP196707 WVK196707:WVL196707 C262243:D262243 IY262243:IZ262243 SU262243:SV262243 ACQ262243:ACR262243 AMM262243:AMN262243 AWI262243:AWJ262243 BGE262243:BGF262243 BQA262243:BQB262243 BZW262243:BZX262243 CJS262243:CJT262243 CTO262243:CTP262243 DDK262243:DDL262243 DNG262243:DNH262243 DXC262243:DXD262243 EGY262243:EGZ262243 EQU262243:EQV262243 FAQ262243:FAR262243 FKM262243:FKN262243 FUI262243:FUJ262243 GEE262243:GEF262243 GOA262243:GOB262243 GXW262243:GXX262243 HHS262243:HHT262243 HRO262243:HRP262243 IBK262243:IBL262243 ILG262243:ILH262243 IVC262243:IVD262243 JEY262243:JEZ262243 JOU262243:JOV262243 JYQ262243:JYR262243 KIM262243:KIN262243 KSI262243:KSJ262243 LCE262243:LCF262243 LMA262243:LMB262243 LVW262243:LVX262243 MFS262243:MFT262243 MPO262243:MPP262243 MZK262243:MZL262243 NJG262243:NJH262243 NTC262243:NTD262243 OCY262243:OCZ262243 OMU262243:OMV262243 OWQ262243:OWR262243 PGM262243:PGN262243 PQI262243:PQJ262243 QAE262243:QAF262243 QKA262243:QKB262243 QTW262243:QTX262243 RDS262243:RDT262243 RNO262243:RNP262243 RXK262243:RXL262243 SHG262243:SHH262243 SRC262243:SRD262243 TAY262243:TAZ262243 TKU262243:TKV262243 TUQ262243:TUR262243 UEM262243:UEN262243 UOI262243:UOJ262243 UYE262243:UYF262243 VIA262243:VIB262243 VRW262243:VRX262243 WBS262243:WBT262243 WLO262243:WLP262243 WVK262243:WVL262243 C327779:D327779 IY327779:IZ327779 SU327779:SV327779 ACQ327779:ACR327779 AMM327779:AMN327779 AWI327779:AWJ327779 BGE327779:BGF327779 BQA327779:BQB327779 BZW327779:BZX327779 CJS327779:CJT327779 CTO327779:CTP327779 DDK327779:DDL327779 DNG327779:DNH327779 DXC327779:DXD327779 EGY327779:EGZ327779 EQU327779:EQV327779 FAQ327779:FAR327779 FKM327779:FKN327779 FUI327779:FUJ327779 GEE327779:GEF327779 GOA327779:GOB327779 GXW327779:GXX327779 HHS327779:HHT327779 HRO327779:HRP327779 IBK327779:IBL327779 ILG327779:ILH327779 IVC327779:IVD327779 JEY327779:JEZ327779 JOU327779:JOV327779 JYQ327779:JYR327779 KIM327779:KIN327779 KSI327779:KSJ327779 LCE327779:LCF327779 LMA327779:LMB327779 LVW327779:LVX327779 MFS327779:MFT327779 MPO327779:MPP327779 MZK327779:MZL327779 NJG327779:NJH327779 NTC327779:NTD327779 OCY327779:OCZ327779 OMU327779:OMV327779 OWQ327779:OWR327779 PGM327779:PGN327779 PQI327779:PQJ327779 QAE327779:QAF327779 QKA327779:QKB327779 QTW327779:QTX327779 RDS327779:RDT327779 RNO327779:RNP327779 RXK327779:RXL327779 SHG327779:SHH327779 SRC327779:SRD327779 TAY327779:TAZ327779 TKU327779:TKV327779 TUQ327779:TUR327779 UEM327779:UEN327779 UOI327779:UOJ327779 UYE327779:UYF327779 VIA327779:VIB327779 VRW327779:VRX327779 WBS327779:WBT327779 WLO327779:WLP327779 WVK327779:WVL327779 C393315:D393315 IY393315:IZ393315 SU393315:SV393315 ACQ393315:ACR393315 AMM393315:AMN393315 AWI393315:AWJ393315 BGE393315:BGF393315 BQA393315:BQB393315 BZW393315:BZX393315 CJS393315:CJT393315 CTO393315:CTP393315 DDK393315:DDL393315 DNG393315:DNH393315 DXC393315:DXD393315 EGY393315:EGZ393315 EQU393315:EQV393315 FAQ393315:FAR393315 FKM393315:FKN393315 FUI393315:FUJ393315 GEE393315:GEF393315 GOA393315:GOB393315 GXW393315:GXX393315 HHS393315:HHT393315 HRO393315:HRP393315 IBK393315:IBL393315 ILG393315:ILH393315 IVC393315:IVD393315 JEY393315:JEZ393315 JOU393315:JOV393315 JYQ393315:JYR393315 KIM393315:KIN393315 KSI393315:KSJ393315 LCE393315:LCF393315 LMA393315:LMB393315 LVW393315:LVX393315 MFS393315:MFT393315 MPO393315:MPP393315 MZK393315:MZL393315 NJG393315:NJH393315 NTC393315:NTD393315 OCY393315:OCZ393315 OMU393315:OMV393315 OWQ393315:OWR393315 PGM393315:PGN393315 PQI393315:PQJ393315 QAE393315:QAF393315 QKA393315:QKB393315 QTW393315:QTX393315 RDS393315:RDT393315 RNO393315:RNP393315 RXK393315:RXL393315 SHG393315:SHH393315 SRC393315:SRD393315 TAY393315:TAZ393315 TKU393315:TKV393315 TUQ393315:TUR393315 UEM393315:UEN393315 UOI393315:UOJ393315 UYE393315:UYF393315 VIA393315:VIB393315 VRW393315:VRX393315 WBS393315:WBT393315 WLO393315:WLP393315 WVK393315:WVL393315 C458851:D458851 IY458851:IZ458851 SU458851:SV458851 ACQ458851:ACR458851 AMM458851:AMN458851 AWI458851:AWJ458851 BGE458851:BGF458851 BQA458851:BQB458851 BZW458851:BZX458851 CJS458851:CJT458851 CTO458851:CTP458851 DDK458851:DDL458851 DNG458851:DNH458851 DXC458851:DXD458851 EGY458851:EGZ458851 EQU458851:EQV458851 FAQ458851:FAR458851 FKM458851:FKN458851 FUI458851:FUJ458851 GEE458851:GEF458851 GOA458851:GOB458851 GXW458851:GXX458851 HHS458851:HHT458851 HRO458851:HRP458851 IBK458851:IBL458851 ILG458851:ILH458851 IVC458851:IVD458851 JEY458851:JEZ458851 JOU458851:JOV458851 JYQ458851:JYR458851 KIM458851:KIN458851 KSI458851:KSJ458851 LCE458851:LCF458851 LMA458851:LMB458851 LVW458851:LVX458851 MFS458851:MFT458851 MPO458851:MPP458851 MZK458851:MZL458851 NJG458851:NJH458851 NTC458851:NTD458851 OCY458851:OCZ458851 OMU458851:OMV458851 OWQ458851:OWR458851 PGM458851:PGN458851 PQI458851:PQJ458851 QAE458851:QAF458851 QKA458851:QKB458851 QTW458851:QTX458851 RDS458851:RDT458851 RNO458851:RNP458851 RXK458851:RXL458851 SHG458851:SHH458851 SRC458851:SRD458851 TAY458851:TAZ458851 TKU458851:TKV458851 TUQ458851:TUR458851 UEM458851:UEN458851 UOI458851:UOJ458851 UYE458851:UYF458851 VIA458851:VIB458851 VRW458851:VRX458851 WBS458851:WBT458851 WLO458851:WLP458851 WVK458851:WVL458851 C524387:D524387 IY524387:IZ524387 SU524387:SV524387 ACQ524387:ACR524387 AMM524387:AMN524387 AWI524387:AWJ524387 BGE524387:BGF524387 BQA524387:BQB524387 BZW524387:BZX524387 CJS524387:CJT524387 CTO524387:CTP524387 DDK524387:DDL524387 DNG524387:DNH524387 DXC524387:DXD524387 EGY524387:EGZ524387 EQU524387:EQV524387 FAQ524387:FAR524387 FKM524387:FKN524387 FUI524387:FUJ524387 GEE524387:GEF524387 GOA524387:GOB524387 GXW524387:GXX524387 HHS524387:HHT524387 HRO524387:HRP524387 IBK524387:IBL524387 ILG524387:ILH524387 IVC524387:IVD524387 JEY524387:JEZ524387 JOU524387:JOV524387 JYQ524387:JYR524387 KIM524387:KIN524387 KSI524387:KSJ524387 LCE524387:LCF524387 LMA524387:LMB524387 LVW524387:LVX524387 MFS524387:MFT524387 MPO524387:MPP524387 MZK524387:MZL524387 NJG524387:NJH524387 NTC524387:NTD524387 OCY524387:OCZ524387 OMU524387:OMV524387 OWQ524387:OWR524387 PGM524387:PGN524387 PQI524387:PQJ524387 QAE524387:QAF524387 QKA524387:QKB524387 QTW524387:QTX524387 RDS524387:RDT524387 RNO524387:RNP524387 RXK524387:RXL524387 SHG524387:SHH524387 SRC524387:SRD524387 TAY524387:TAZ524387 TKU524387:TKV524387 TUQ524387:TUR524387 UEM524387:UEN524387 UOI524387:UOJ524387 UYE524387:UYF524387 VIA524387:VIB524387 VRW524387:VRX524387 WBS524387:WBT524387 WLO524387:WLP524387 WVK524387:WVL524387 C589923:D589923 IY589923:IZ589923 SU589923:SV589923 ACQ589923:ACR589923 AMM589923:AMN589923 AWI589923:AWJ589923 BGE589923:BGF589923 BQA589923:BQB589923 BZW589923:BZX589923 CJS589923:CJT589923 CTO589923:CTP589923 DDK589923:DDL589923 DNG589923:DNH589923 DXC589923:DXD589923 EGY589923:EGZ589923 EQU589923:EQV589923 FAQ589923:FAR589923 FKM589923:FKN589923 FUI589923:FUJ589923 GEE589923:GEF589923 GOA589923:GOB589923 GXW589923:GXX589923 HHS589923:HHT589923 HRO589923:HRP589923 IBK589923:IBL589923 ILG589923:ILH589923 IVC589923:IVD589923 JEY589923:JEZ589923 JOU589923:JOV589923 JYQ589923:JYR589923 KIM589923:KIN589923 KSI589923:KSJ589923 LCE589923:LCF589923 LMA589923:LMB589923 LVW589923:LVX589923 MFS589923:MFT589923 MPO589923:MPP589923 MZK589923:MZL589923 NJG589923:NJH589923 NTC589923:NTD589923 OCY589923:OCZ589923 OMU589923:OMV589923 OWQ589923:OWR589923 PGM589923:PGN589923 PQI589923:PQJ589923 QAE589923:QAF589923 QKA589923:QKB589923 QTW589923:QTX589923 RDS589923:RDT589923 RNO589923:RNP589923 RXK589923:RXL589923 SHG589923:SHH589923 SRC589923:SRD589923 TAY589923:TAZ589923 TKU589923:TKV589923 TUQ589923:TUR589923 UEM589923:UEN589923 UOI589923:UOJ589923 UYE589923:UYF589923 VIA589923:VIB589923 VRW589923:VRX589923 WBS589923:WBT589923 WLO589923:WLP589923 WVK589923:WVL589923 C655459:D655459 IY655459:IZ655459 SU655459:SV655459 ACQ655459:ACR655459 AMM655459:AMN655459 AWI655459:AWJ655459 BGE655459:BGF655459 BQA655459:BQB655459 BZW655459:BZX655459 CJS655459:CJT655459 CTO655459:CTP655459 DDK655459:DDL655459 DNG655459:DNH655459 DXC655459:DXD655459 EGY655459:EGZ655459 EQU655459:EQV655459 FAQ655459:FAR655459 FKM655459:FKN655459 FUI655459:FUJ655459 GEE655459:GEF655459 GOA655459:GOB655459 GXW655459:GXX655459 HHS655459:HHT655459 HRO655459:HRP655459 IBK655459:IBL655459 ILG655459:ILH655459 IVC655459:IVD655459 JEY655459:JEZ655459 JOU655459:JOV655459 JYQ655459:JYR655459 KIM655459:KIN655459 KSI655459:KSJ655459 LCE655459:LCF655459 LMA655459:LMB655459 LVW655459:LVX655459 MFS655459:MFT655459 MPO655459:MPP655459 MZK655459:MZL655459 NJG655459:NJH655459 NTC655459:NTD655459 OCY655459:OCZ655459 OMU655459:OMV655459 OWQ655459:OWR655459 PGM655459:PGN655459 PQI655459:PQJ655459 QAE655459:QAF655459 QKA655459:QKB655459 QTW655459:QTX655459 RDS655459:RDT655459 RNO655459:RNP655459 RXK655459:RXL655459 SHG655459:SHH655459 SRC655459:SRD655459 TAY655459:TAZ655459 TKU655459:TKV655459 TUQ655459:TUR655459 UEM655459:UEN655459 UOI655459:UOJ655459 UYE655459:UYF655459 VIA655459:VIB655459 VRW655459:VRX655459 WBS655459:WBT655459 WLO655459:WLP655459 WVK655459:WVL655459 C720995:D720995 IY720995:IZ720995 SU720995:SV720995 ACQ720995:ACR720995 AMM720995:AMN720995 AWI720995:AWJ720995 BGE720995:BGF720995 BQA720995:BQB720995 BZW720995:BZX720995 CJS720995:CJT720995 CTO720995:CTP720995 DDK720995:DDL720995 DNG720995:DNH720995 DXC720995:DXD720995 EGY720995:EGZ720995 EQU720995:EQV720995 FAQ720995:FAR720995 FKM720995:FKN720995 FUI720995:FUJ720995 GEE720995:GEF720995 GOA720995:GOB720995 GXW720995:GXX720995 HHS720995:HHT720995 HRO720995:HRP720995 IBK720995:IBL720995 ILG720995:ILH720995 IVC720995:IVD720995 JEY720995:JEZ720995 JOU720995:JOV720995 JYQ720995:JYR720995 KIM720995:KIN720995 KSI720995:KSJ720995 LCE720995:LCF720995 LMA720995:LMB720995 LVW720995:LVX720995 MFS720995:MFT720995 MPO720995:MPP720995 MZK720995:MZL720995 NJG720995:NJH720995 NTC720995:NTD720995 OCY720995:OCZ720995 OMU720995:OMV720995 OWQ720995:OWR720995 PGM720995:PGN720995 PQI720995:PQJ720995 QAE720995:QAF720995 QKA720995:QKB720995 QTW720995:QTX720995 RDS720995:RDT720995 RNO720995:RNP720995 RXK720995:RXL720995 SHG720995:SHH720995 SRC720995:SRD720995 TAY720995:TAZ720995 TKU720995:TKV720995 TUQ720995:TUR720995 UEM720995:UEN720995 UOI720995:UOJ720995 UYE720995:UYF720995 VIA720995:VIB720995 VRW720995:VRX720995 WBS720995:WBT720995 WLO720995:WLP720995 WVK720995:WVL720995 C786531:D786531 IY786531:IZ786531 SU786531:SV786531 ACQ786531:ACR786531 AMM786531:AMN786531 AWI786531:AWJ786531 BGE786531:BGF786531 BQA786531:BQB786531 BZW786531:BZX786531 CJS786531:CJT786531 CTO786531:CTP786531 DDK786531:DDL786531 DNG786531:DNH786531 DXC786531:DXD786531 EGY786531:EGZ786531 EQU786531:EQV786531 FAQ786531:FAR786531 FKM786531:FKN786531 FUI786531:FUJ786531 GEE786531:GEF786531 GOA786531:GOB786531 GXW786531:GXX786531 HHS786531:HHT786531 HRO786531:HRP786531 IBK786531:IBL786531 ILG786531:ILH786531 IVC786531:IVD786531 JEY786531:JEZ786531 JOU786531:JOV786531 JYQ786531:JYR786531 KIM786531:KIN786531 KSI786531:KSJ786531 LCE786531:LCF786531 LMA786531:LMB786531 LVW786531:LVX786531 MFS786531:MFT786531 MPO786531:MPP786531 MZK786531:MZL786531 NJG786531:NJH786531 NTC786531:NTD786531 OCY786531:OCZ786531 OMU786531:OMV786531 OWQ786531:OWR786531 PGM786531:PGN786531 PQI786531:PQJ786531 QAE786531:QAF786531 QKA786531:QKB786531 QTW786531:QTX786531 RDS786531:RDT786531 RNO786531:RNP786531 RXK786531:RXL786531 SHG786531:SHH786531 SRC786531:SRD786531 TAY786531:TAZ786531 TKU786531:TKV786531 TUQ786531:TUR786531 UEM786531:UEN786531 UOI786531:UOJ786531 UYE786531:UYF786531 VIA786531:VIB786531 VRW786531:VRX786531 WBS786531:WBT786531 WLO786531:WLP786531 WVK786531:WVL786531 C852067:D852067 IY852067:IZ852067 SU852067:SV852067 ACQ852067:ACR852067 AMM852067:AMN852067 AWI852067:AWJ852067 BGE852067:BGF852067 BQA852067:BQB852067 BZW852067:BZX852067 CJS852067:CJT852067 CTO852067:CTP852067 DDK852067:DDL852067 DNG852067:DNH852067 DXC852067:DXD852067 EGY852067:EGZ852067 EQU852067:EQV852067 FAQ852067:FAR852067 FKM852067:FKN852067 FUI852067:FUJ852067 GEE852067:GEF852067 GOA852067:GOB852067 GXW852067:GXX852067 HHS852067:HHT852067 HRO852067:HRP852067 IBK852067:IBL852067 ILG852067:ILH852067 IVC852067:IVD852067 JEY852067:JEZ852067 JOU852067:JOV852067 JYQ852067:JYR852067 KIM852067:KIN852067 KSI852067:KSJ852067 LCE852067:LCF852067 LMA852067:LMB852067 LVW852067:LVX852067 MFS852067:MFT852067 MPO852067:MPP852067 MZK852067:MZL852067 NJG852067:NJH852067 NTC852067:NTD852067 OCY852067:OCZ852067 OMU852067:OMV852067 OWQ852067:OWR852067 PGM852067:PGN852067 PQI852067:PQJ852067 QAE852067:QAF852067 QKA852067:QKB852067 QTW852067:QTX852067 RDS852067:RDT852067 RNO852067:RNP852067 RXK852067:RXL852067 SHG852067:SHH852067 SRC852067:SRD852067 TAY852067:TAZ852067 TKU852067:TKV852067 TUQ852067:TUR852067 UEM852067:UEN852067 UOI852067:UOJ852067 UYE852067:UYF852067 VIA852067:VIB852067 VRW852067:VRX852067 WBS852067:WBT852067 WLO852067:WLP852067 WVK852067:WVL852067 C917603:D917603 IY917603:IZ917603 SU917603:SV917603 ACQ917603:ACR917603 AMM917603:AMN917603 AWI917603:AWJ917603 BGE917603:BGF917603 BQA917603:BQB917603 BZW917603:BZX917603 CJS917603:CJT917603 CTO917603:CTP917603 DDK917603:DDL917603 DNG917603:DNH917603 DXC917603:DXD917603 EGY917603:EGZ917603 EQU917603:EQV917603 FAQ917603:FAR917603 FKM917603:FKN917603 FUI917603:FUJ917603 GEE917603:GEF917603 GOA917603:GOB917603 GXW917603:GXX917603 HHS917603:HHT917603 HRO917603:HRP917603 IBK917603:IBL917603 ILG917603:ILH917603 IVC917603:IVD917603 JEY917603:JEZ917603 JOU917603:JOV917603 JYQ917603:JYR917603 KIM917603:KIN917603 KSI917603:KSJ917603 LCE917603:LCF917603 LMA917603:LMB917603 LVW917603:LVX917603 MFS917603:MFT917603 MPO917603:MPP917603 MZK917603:MZL917603 NJG917603:NJH917603 NTC917603:NTD917603 OCY917603:OCZ917603 OMU917603:OMV917603 OWQ917603:OWR917603 PGM917603:PGN917603 PQI917603:PQJ917603 QAE917603:QAF917603 QKA917603:QKB917603 QTW917603:QTX917603 RDS917603:RDT917603 RNO917603:RNP917603 RXK917603:RXL917603 SHG917603:SHH917603 SRC917603:SRD917603 TAY917603:TAZ917603 TKU917603:TKV917603 TUQ917603:TUR917603 UEM917603:UEN917603 UOI917603:UOJ917603 UYE917603:UYF917603 VIA917603:VIB917603 VRW917603:VRX917603 WBS917603:WBT917603 WLO917603:WLP917603 WVK917603:WVL917603 C983139:D983139 IY983139:IZ983139 SU983139:SV983139 ACQ983139:ACR983139 AMM983139:AMN983139 AWI983139:AWJ983139 BGE983139:BGF983139 BQA983139:BQB983139 BZW983139:BZX983139 CJS983139:CJT983139 CTO983139:CTP983139 DDK983139:DDL983139 DNG983139:DNH983139 DXC983139:DXD983139 EGY983139:EGZ983139 EQU983139:EQV983139 FAQ983139:FAR983139 FKM983139:FKN983139 FUI983139:FUJ983139 GEE983139:GEF983139 GOA983139:GOB983139 GXW983139:GXX983139 HHS983139:HHT983139 HRO983139:HRP983139 IBK983139:IBL983139 ILG983139:ILH983139 IVC983139:IVD983139 JEY983139:JEZ983139 JOU983139:JOV983139 JYQ983139:JYR983139 KIM983139:KIN983139 KSI983139:KSJ983139 LCE983139:LCF983139 LMA983139:LMB983139 LVW983139:LVX983139 MFS983139:MFT983139 MPO983139:MPP983139 MZK983139:MZL983139 NJG983139:NJH983139 NTC983139:NTD983139 OCY983139:OCZ983139 OMU983139:OMV983139 OWQ983139:OWR983139 PGM983139:PGN983139 PQI983139:PQJ983139 QAE983139:QAF983139 QKA983139:QKB983139 QTW983139:QTX983139 RDS983139:RDT983139 RNO983139:RNP983139 RXK983139:RXL983139 SHG983139:SHH983139 SRC983139:SRD983139 TAY983139:TAZ983139 TKU983139:TKV983139 TUQ983139:TUR983139 UEM983139:UEN983139 UOI983139:UOJ983139 UYE983139:UYF983139 VIA983139:VIB983139 VRW983139:VRX983139 WBS983139:WBT983139 WLO983139:WLP983139 WVK983139:WVL983139 E146:E147 JA146:JA147 SW146:SW147 ACS146:ACS147 AMO146:AMO147 AWK146:AWK147 BGG146:BGG147 BQC146:BQC147 BZY146:BZY147 CJU146:CJU147 CTQ146:CTQ147 DDM146:DDM147 DNI146:DNI147 DXE146:DXE147 EHA146:EHA147 EQW146:EQW147 FAS146:FAS147 FKO146:FKO147 FUK146:FUK147 GEG146:GEG147 GOC146:GOC147 GXY146:GXY147 HHU146:HHU147 HRQ146:HRQ147 IBM146:IBM147 ILI146:ILI147 IVE146:IVE147 JFA146:JFA147 JOW146:JOW147 JYS146:JYS147 KIO146:KIO147 KSK146:KSK147 LCG146:LCG147 LMC146:LMC147 LVY146:LVY147 MFU146:MFU147 MPQ146:MPQ147 MZM146:MZM147 NJI146:NJI147 NTE146:NTE147 ODA146:ODA147 OMW146:OMW147 OWS146:OWS147 PGO146:PGO147 PQK146:PQK147 QAG146:QAG147 QKC146:QKC147 QTY146:QTY147 RDU146:RDU147 RNQ146:RNQ147 RXM146:RXM147 SHI146:SHI147 SRE146:SRE147 TBA146:TBA147 TKW146:TKW147 TUS146:TUS147 UEO146:UEO147 UOK146:UOK147 UYG146:UYG147 VIC146:VIC147 VRY146:VRY147 WBU146:WBU147 WLQ146:WLQ147 WVM146:WVM147 E65682:E65683 JA65682:JA65683 SW65682:SW65683 ACS65682:ACS65683 AMO65682:AMO65683 AWK65682:AWK65683 BGG65682:BGG65683 BQC65682:BQC65683 BZY65682:BZY65683 CJU65682:CJU65683 CTQ65682:CTQ65683 DDM65682:DDM65683 DNI65682:DNI65683 DXE65682:DXE65683 EHA65682:EHA65683 EQW65682:EQW65683 FAS65682:FAS65683 FKO65682:FKO65683 FUK65682:FUK65683 GEG65682:GEG65683 GOC65682:GOC65683 GXY65682:GXY65683 HHU65682:HHU65683 HRQ65682:HRQ65683 IBM65682:IBM65683 ILI65682:ILI65683 IVE65682:IVE65683 JFA65682:JFA65683 JOW65682:JOW65683 JYS65682:JYS65683 KIO65682:KIO65683 KSK65682:KSK65683 LCG65682:LCG65683 LMC65682:LMC65683 LVY65682:LVY65683 MFU65682:MFU65683 MPQ65682:MPQ65683 MZM65682:MZM65683 NJI65682:NJI65683 NTE65682:NTE65683 ODA65682:ODA65683 OMW65682:OMW65683 OWS65682:OWS65683 PGO65682:PGO65683 PQK65682:PQK65683 QAG65682:QAG65683 QKC65682:QKC65683 QTY65682:QTY65683 RDU65682:RDU65683 RNQ65682:RNQ65683 RXM65682:RXM65683 SHI65682:SHI65683 SRE65682:SRE65683 TBA65682:TBA65683 TKW65682:TKW65683 TUS65682:TUS65683 UEO65682:UEO65683 UOK65682:UOK65683 UYG65682:UYG65683 VIC65682:VIC65683 VRY65682:VRY65683 WBU65682:WBU65683 WLQ65682:WLQ65683 WVM65682:WVM65683 E131218:E131219 JA131218:JA131219 SW131218:SW131219 ACS131218:ACS131219 AMO131218:AMO131219 AWK131218:AWK131219 BGG131218:BGG131219 BQC131218:BQC131219 BZY131218:BZY131219 CJU131218:CJU131219 CTQ131218:CTQ131219 DDM131218:DDM131219 DNI131218:DNI131219 DXE131218:DXE131219 EHA131218:EHA131219 EQW131218:EQW131219 FAS131218:FAS131219 FKO131218:FKO131219 FUK131218:FUK131219 GEG131218:GEG131219 GOC131218:GOC131219 GXY131218:GXY131219 HHU131218:HHU131219 HRQ131218:HRQ131219 IBM131218:IBM131219 ILI131218:ILI131219 IVE131218:IVE131219 JFA131218:JFA131219 JOW131218:JOW131219 JYS131218:JYS131219 KIO131218:KIO131219 KSK131218:KSK131219 LCG131218:LCG131219 LMC131218:LMC131219 LVY131218:LVY131219 MFU131218:MFU131219 MPQ131218:MPQ131219 MZM131218:MZM131219 NJI131218:NJI131219 NTE131218:NTE131219 ODA131218:ODA131219 OMW131218:OMW131219 OWS131218:OWS131219 PGO131218:PGO131219 PQK131218:PQK131219 QAG131218:QAG131219 QKC131218:QKC131219 QTY131218:QTY131219 RDU131218:RDU131219 RNQ131218:RNQ131219 RXM131218:RXM131219 SHI131218:SHI131219 SRE131218:SRE131219 TBA131218:TBA131219 TKW131218:TKW131219 TUS131218:TUS131219 UEO131218:UEO131219 UOK131218:UOK131219 UYG131218:UYG131219 VIC131218:VIC131219 VRY131218:VRY131219 WBU131218:WBU131219 WLQ131218:WLQ131219 WVM131218:WVM131219 E196754:E196755 JA196754:JA196755 SW196754:SW196755 ACS196754:ACS196755 AMO196754:AMO196755 AWK196754:AWK196755 BGG196754:BGG196755 BQC196754:BQC196755 BZY196754:BZY196755 CJU196754:CJU196755 CTQ196754:CTQ196755 DDM196754:DDM196755 DNI196754:DNI196755 DXE196754:DXE196755 EHA196754:EHA196755 EQW196754:EQW196755 FAS196754:FAS196755 FKO196754:FKO196755 FUK196754:FUK196755 GEG196754:GEG196755 GOC196754:GOC196755 GXY196754:GXY196755 HHU196754:HHU196755 HRQ196754:HRQ196755 IBM196754:IBM196755 ILI196754:ILI196755 IVE196754:IVE196755 JFA196754:JFA196755 JOW196754:JOW196755 JYS196754:JYS196755 KIO196754:KIO196755 KSK196754:KSK196755 LCG196754:LCG196755 LMC196754:LMC196755 LVY196754:LVY196755 MFU196754:MFU196755 MPQ196754:MPQ196755 MZM196754:MZM196755 NJI196754:NJI196755 NTE196754:NTE196755 ODA196754:ODA196755 OMW196754:OMW196755 OWS196754:OWS196755 PGO196754:PGO196755 PQK196754:PQK196755 QAG196754:QAG196755 QKC196754:QKC196755 QTY196754:QTY196755 RDU196754:RDU196755 RNQ196754:RNQ196755 RXM196754:RXM196755 SHI196754:SHI196755 SRE196754:SRE196755 TBA196754:TBA196755 TKW196754:TKW196755 TUS196754:TUS196755 UEO196754:UEO196755 UOK196754:UOK196755 UYG196754:UYG196755 VIC196754:VIC196755 VRY196754:VRY196755 WBU196754:WBU196755 WLQ196754:WLQ196755 WVM196754:WVM196755 E262290:E262291 JA262290:JA262291 SW262290:SW262291 ACS262290:ACS262291 AMO262290:AMO262291 AWK262290:AWK262291 BGG262290:BGG262291 BQC262290:BQC262291 BZY262290:BZY262291 CJU262290:CJU262291 CTQ262290:CTQ262291 DDM262290:DDM262291 DNI262290:DNI262291 DXE262290:DXE262291 EHA262290:EHA262291 EQW262290:EQW262291 FAS262290:FAS262291 FKO262290:FKO262291 FUK262290:FUK262291 GEG262290:GEG262291 GOC262290:GOC262291 GXY262290:GXY262291 HHU262290:HHU262291 HRQ262290:HRQ262291 IBM262290:IBM262291 ILI262290:ILI262291 IVE262290:IVE262291 JFA262290:JFA262291 JOW262290:JOW262291 JYS262290:JYS262291 KIO262290:KIO262291 KSK262290:KSK262291 LCG262290:LCG262291 LMC262290:LMC262291 LVY262290:LVY262291 MFU262290:MFU262291 MPQ262290:MPQ262291 MZM262290:MZM262291 NJI262290:NJI262291 NTE262290:NTE262291 ODA262290:ODA262291 OMW262290:OMW262291 OWS262290:OWS262291 PGO262290:PGO262291 PQK262290:PQK262291 QAG262290:QAG262291 QKC262290:QKC262291 QTY262290:QTY262291 RDU262290:RDU262291 RNQ262290:RNQ262291 RXM262290:RXM262291 SHI262290:SHI262291 SRE262290:SRE262291 TBA262290:TBA262291 TKW262290:TKW262291 TUS262290:TUS262291 UEO262290:UEO262291 UOK262290:UOK262291 UYG262290:UYG262291 VIC262290:VIC262291 VRY262290:VRY262291 WBU262290:WBU262291 WLQ262290:WLQ262291 WVM262290:WVM262291 E327826:E327827 JA327826:JA327827 SW327826:SW327827 ACS327826:ACS327827 AMO327826:AMO327827 AWK327826:AWK327827 BGG327826:BGG327827 BQC327826:BQC327827 BZY327826:BZY327827 CJU327826:CJU327827 CTQ327826:CTQ327827 DDM327826:DDM327827 DNI327826:DNI327827 DXE327826:DXE327827 EHA327826:EHA327827 EQW327826:EQW327827 FAS327826:FAS327827 FKO327826:FKO327827 FUK327826:FUK327827 GEG327826:GEG327827 GOC327826:GOC327827 GXY327826:GXY327827 HHU327826:HHU327827 HRQ327826:HRQ327827 IBM327826:IBM327827 ILI327826:ILI327827 IVE327826:IVE327827 JFA327826:JFA327827 JOW327826:JOW327827 JYS327826:JYS327827 KIO327826:KIO327827 KSK327826:KSK327827 LCG327826:LCG327827 LMC327826:LMC327827 LVY327826:LVY327827 MFU327826:MFU327827 MPQ327826:MPQ327827 MZM327826:MZM327827 NJI327826:NJI327827 NTE327826:NTE327827 ODA327826:ODA327827 OMW327826:OMW327827 OWS327826:OWS327827 PGO327826:PGO327827 PQK327826:PQK327827 QAG327826:QAG327827 QKC327826:QKC327827 QTY327826:QTY327827 RDU327826:RDU327827 RNQ327826:RNQ327827 RXM327826:RXM327827 SHI327826:SHI327827 SRE327826:SRE327827 TBA327826:TBA327827 TKW327826:TKW327827 TUS327826:TUS327827 UEO327826:UEO327827 UOK327826:UOK327827 UYG327826:UYG327827 VIC327826:VIC327827 VRY327826:VRY327827 WBU327826:WBU327827 WLQ327826:WLQ327827 WVM327826:WVM327827 E393362:E393363 JA393362:JA393363 SW393362:SW393363 ACS393362:ACS393363 AMO393362:AMO393363 AWK393362:AWK393363 BGG393362:BGG393363 BQC393362:BQC393363 BZY393362:BZY393363 CJU393362:CJU393363 CTQ393362:CTQ393363 DDM393362:DDM393363 DNI393362:DNI393363 DXE393362:DXE393363 EHA393362:EHA393363 EQW393362:EQW393363 FAS393362:FAS393363 FKO393362:FKO393363 FUK393362:FUK393363 GEG393362:GEG393363 GOC393362:GOC393363 GXY393362:GXY393363 HHU393362:HHU393363 HRQ393362:HRQ393363 IBM393362:IBM393363 ILI393362:ILI393363 IVE393362:IVE393363 JFA393362:JFA393363 JOW393362:JOW393363 JYS393362:JYS393363 KIO393362:KIO393363 KSK393362:KSK393363 LCG393362:LCG393363 LMC393362:LMC393363 LVY393362:LVY393363 MFU393362:MFU393363 MPQ393362:MPQ393363 MZM393362:MZM393363 NJI393362:NJI393363 NTE393362:NTE393363 ODA393362:ODA393363 OMW393362:OMW393363 OWS393362:OWS393363 PGO393362:PGO393363 PQK393362:PQK393363 QAG393362:QAG393363 QKC393362:QKC393363 QTY393362:QTY393363 RDU393362:RDU393363 RNQ393362:RNQ393363 RXM393362:RXM393363 SHI393362:SHI393363 SRE393362:SRE393363 TBA393362:TBA393363 TKW393362:TKW393363 TUS393362:TUS393363 UEO393362:UEO393363 UOK393362:UOK393363 UYG393362:UYG393363 VIC393362:VIC393363 VRY393362:VRY393363 WBU393362:WBU393363 WLQ393362:WLQ393363 WVM393362:WVM393363 E458898:E458899 JA458898:JA458899 SW458898:SW458899 ACS458898:ACS458899 AMO458898:AMO458899 AWK458898:AWK458899 BGG458898:BGG458899 BQC458898:BQC458899 BZY458898:BZY458899 CJU458898:CJU458899 CTQ458898:CTQ458899 DDM458898:DDM458899 DNI458898:DNI458899 DXE458898:DXE458899 EHA458898:EHA458899 EQW458898:EQW458899 FAS458898:FAS458899 FKO458898:FKO458899 FUK458898:FUK458899 GEG458898:GEG458899 GOC458898:GOC458899 GXY458898:GXY458899 HHU458898:HHU458899 HRQ458898:HRQ458899 IBM458898:IBM458899 ILI458898:ILI458899 IVE458898:IVE458899 JFA458898:JFA458899 JOW458898:JOW458899 JYS458898:JYS458899 KIO458898:KIO458899 KSK458898:KSK458899 LCG458898:LCG458899 LMC458898:LMC458899 LVY458898:LVY458899 MFU458898:MFU458899 MPQ458898:MPQ458899 MZM458898:MZM458899 NJI458898:NJI458899 NTE458898:NTE458899 ODA458898:ODA458899 OMW458898:OMW458899 OWS458898:OWS458899 PGO458898:PGO458899 PQK458898:PQK458899 QAG458898:QAG458899 QKC458898:QKC458899 QTY458898:QTY458899 RDU458898:RDU458899 RNQ458898:RNQ458899 RXM458898:RXM458899 SHI458898:SHI458899 SRE458898:SRE458899 TBA458898:TBA458899 TKW458898:TKW458899 TUS458898:TUS458899 UEO458898:UEO458899 UOK458898:UOK458899 UYG458898:UYG458899 VIC458898:VIC458899 VRY458898:VRY458899 WBU458898:WBU458899 WLQ458898:WLQ458899 WVM458898:WVM458899 E524434:E524435 JA524434:JA524435 SW524434:SW524435 ACS524434:ACS524435 AMO524434:AMO524435 AWK524434:AWK524435 BGG524434:BGG524435 BQC524434:BQC524435 BZY524434:BZY524435 CJU524434:CJU524435 CTQ524434:CTQ524435 DDM524434:DDM524435 DNI524434:DNI524435 DXE524434:DXE524435 EHA524434:EHA524435 EQW524434:EQW524435 FAS524434:FAS524435 FKO524434:FKO524435 FUK524434:FUK524435 GEG524434:GEG524435 GOC524434:GOC524435 GXY524434:GXY524435 HHU524434:HHU524435 HRQ524434:HRQ524435 IBM524434:IBM524435 ILI524434:ILI524435 IVE524434:IVE524435 JFA524434:JFA524435 JOW524434:JOW524435 JYS524434:JYS524435 KIO524434:KIO524435 KSK524434:KSK524435 LCG524434:LCG524435 LMC524434:LMC524435 LVY524434:LVY524435 MFU524434:MFU524435 MPQ524434:MPQ524435 MZM524434:MZM524435 NJI524434:NJI524435 NTE524434:NTE524435 ODA524434:ODA524435 OMW524434:OMW524435 OWS524434:OWS524435 PGO524434:PGO524435 PQK524434:PQK524435 QAG524434:QAG524435 QKC524434:QKC524435 QTY524434:QTY524435 RDU524434:RDU524435 RNQ524434:RNQ524435 RXM524434:RXM524435 SHI524434:SHI524435 SRE524434:SRE524435 TBA524434:TBA524435 TKW524434:TKW524435 TUS524434:TUS524435 UEO524434:UEO524435 UOK524434:UOK524435 UYG524434:UYG524435 VIC524434:VIC524435 VRY524434:VRY524435 WBU524434:WBU524435 WLQ524434:WLQ524435 WVM524434:WVM524435 E589970:E589971 JA589970:JA589971 SW589970:SW589971 ACS589970:ACS589971 AMO589970:AMO589971 AWK589970:AWK589971 BGG589970:BGG589971 BQC589970:BQC589971 BZY589970:BZY589971 CJU589970:CJU589971 CTQ589970:CTQ589971 DDM589970:DDM589971 DNI589970:DNI589971 DXE589970:DXE589971 EHA589970:EHA589971 EQW589970:EQW589971 FAS589970:FAS589971 FKO589970:FKO589971 FUK589970:FUK589971 GEG589970:GEG589971 GOC589970:GOC589971 GXY589970:GXY589971 HHU589970:HHU589971 HRQ589970:HRQ589971 IBM589970:IBM589971 ILI589970:ILI589971 IVE589970:IVE589971 JFA589970:JFA589971 JOW589970:JOW589971 JYS589970:JYS589971 KIO589970:KIO589971 KSK589970:KSK589971 LCG589970:LCG589971 LMC589970:LMC589971 LVY589970:LVY589971 MFU589970:MFU589971 MPQ589970:MPQ589971 MZM589970:MZM589971 NJI589970:NJI589971 NTE589970:NTE589971 ODA589970:ODA589971 OMW589970:OMW589971 OWS589970:OWS589971 PGO589970:PGO589971 PQK589970:PQK589971 QAG589970:QAG589971 QKC589970:QKC589971 QTY589970:QTY589971 RDU589970:RDU589971 RNQ589970:RNQ589971 RXM589970:RXM589971 SHI589970:SHI589971 SRE589970:SRE589971 TBA589970:TBA589971 TKW589970:TKW589971 TUS589970:TUS589971 UEO589970:UEO589971 UOK589970:UOK589971 UYG589970:UYG589971 VIC589970:VIC589971 VRY589970:VRY589971 WBU589970:WBU589971 WLQ589970:WLQ589971 WVM589970:WVM589971 E655506:E655507 JA655506:JA655507 SW655506:SW655507 ACS655506:ACS655507 AMO655506:AMO655507 AWK655506:AWK655507 BGG655506:BGG655507 BQC655506:BQC655507 BZY655506:BZY655507 CJU655506:CJU655507 CTQ655506:CTQ655507 DDM655506:DDM655507 DNI655506:DNI655507 DXE655506:DXE655507 EHA655506:EHA655507 EQW655506:EQW655507 FAS655506:FAS655507 FKO655506:FKO655507 FUK655506:FUK655507 GEG655506:GEG655507 GOC655506:GOC655507 GXY655506:GXY655507 HHU655506:HHU655507 HRQ655506:HRQ655507 IBM655506:IBM655507 ILI655506:ILI655507 IVE655506:IVE655507 JFA655506:JFA655507 JOW655506:JOW655507 JYS655506:JYS655507 KIO655506:KIO655507 KSK655506:KSK655507 LCG655506:LCG655507 LMC655506:LMC655507 LVY655506:LVY655507 MFU655506:MFU655507 MPQ655506:MPQ655507 MZM655506:MZM655507 NJI655506:NJI655507 NTE655506:NTE655507 ODA655506:ODA655507 OMW655506:OMW655507 OWS655506:OWS655507 PGO655506:PGO655507 PQK655506:PQK655507 QAG655506:QAG655507 QKC655506:QKC655507 QTY655506:QTY655507 RDU655506:RDU655507 RNQ655506:RNQ655507 RXM655506:RXM655507 SHI655506:SHI655507 SRE655506:SRE655507 TBA655506:TBA655507 TKW655506:TKW655507 TUS655506:TUS655507 UEO655506:UEO655507 UOK655506:UOK655507 UYG655506:UYG655507 VIC655506:VIC655507 VRY655506:VRY655507 WBU655506:WBU655507 WLQ655506:WLQ655507 WVM655506:WVM655507 E721042:E721043 JA721042:JA721043 SW721042:SW721043 ACS721042:ACS721043 AMO721042:AMO721043 AWK721042:AWK721043 BGG721042:BGG721043 BQC721042:BQC721043 BZY721042:BZY721043 CJU721042:CJU721043 CTQ721042:CTQ721043 DDM721042:DDM721043 DNI721042:DNI721043 DXE721042:DXE721043 EHA721042:EHA721043 EQW721042:EQW721043 FAS721042:FAS721043 FKO721042:FKO721043 FUK721042:FUK721043 GEG721042:GEG721043 GOC721042:GOC721043 GXY721042:GXY721043 HHU721042:HHU721043 HRQ721042:HRQ721043 IBM721042:IBM721043 ILI721042:ILI721043 IVE721042:IVE721043 JFA721042:JFA721043 JOW721042:JOW721043 JYS721042:JYS721043 KIO721042:KIO721043 KSK721042:KSK721043 LCG721042:LCG721043 LMC721042:LMC721043 LVY721042:LVY721043 MFU721042:MFU721043 MPQ721042:MPQ721043 MZM721042:MZM721043 NJI721042:NJI721043 NTE721042:NTE721043 ODA721042:ODA721043 OMW721042:OMW721043 OWS721042:OWS721043 PGO721042:PGO721043 PQK721042:PQK721043 QAG721042:QAG721043 QKC721042:QKC721043 QTY721042:QTY721043 RDU721042:RDU721043 RNQ721042:RNQ721043 RXM721042:RXM721043 SHI721042:SHI721043 SRE721042:SRE721043 TBA721042:TBA721043 TKW721042:TKW721043 TUS721042:TUS721043 UEO721042:UEO721043 UOK721042:UOK721043 UYG721042:UYG721043 VIC721042:VIC721043 VRY721042:VRY721043 WBU721042:WBU721043 WLQ721042:WLQ721043 WVM721042:WVM721043 E786578:E786579 JA786578:JA786579 SW786578:SW786579 ACS786578:ACS786579 AMO786578:AMO786579 AWK786578:AWK786579 BGG786578:BGG786579 BQC786578:BQC786579 BZY786578:BZY786579 CJU786578:CJU786579 CTQ786578:CTQ786579 DDM786578:DDM786579 DNI786578:DNI786579 DXE786578:DXE786579 EHA786578:EHA786579 EQW786578:EQW786579 FAS786578:FAS786579 FKO786578:FKO786579 FUK786578:FUK786579 GEG786578:GEG786579 GOC786578:GOC786579 GXY786578:GXY786579 HHU786578:HHU786579 HRQ786578:HRQ786579 IBM786578:IBM786579 ILI786578:ILI786579 IVE786578:IVE786579 JFA786578:JFA786579 JOW786578:JOW786579 JYS786578:JYS786579 KIO786578:KIO786579 KSK786578:KSK786579 LCG786578:LCG786579 LMC786578:LMC786579 LVY786578:LVY786579 MFU786578:MFU786579 MPQ786578:MPQ786579 MZM786578:MZM786579 NJI786578:NJI786579 NTE786578:NTE786579 ODA786578:ODA786579 OMW786578:OMW786579 OWS786578:OWS786579 PGO786578:PGO786579 PQK786578:PQK786579 QAG786578:QAG786579 QKC786578:QKC786579 QTY786578:QTY786579 RDU786578:RDU786579 RNQ786578:RNQ786579 RXM786578:RXM786579 SHI786578:SHI786579 SRE786578:SRE786579 TBA786578:TBA786579 TKW786578:TKW786579 TUS786578:TUS786579 UEO786578:UEO786579 UOK786578:UOK786579 UYG786578:UYG786579 VIC786578:VIC786579 VRY786578:VRY786579 WBU786578:WBU786579 WLQ786578:WLQ786579 WVM786578:WVM786579 E852114:E852115 JA852114:JA852115 SW852114:SW852115 ACS852114:ACS852115 AMO852114:AMO852115 AWK852114:AWK852115 BGG852114:BGG852115 BQC852114:BQC852115 BZY852114:BZY852115 CJU852114:CJU852115 CTQ852114:CTQ852115 DDM852114:DDM852115 DNI852114:DNI852115 DXE852114:DXE852115 EHA852114:EHA852115 EQW852114:EQW852115 FAS852114:FAS852115 FKO852114:FKO852115 FUK852114:FUK852115 GEG852114:GEG852115 GOC852114:GOC852115 GXY852114:GXY852115 HHU852114:HHU852115 HRQ852114:HRQ852115 IBM852114:IBM852115 ILI852114:ILI852115 IVE852114:IVE852115 JFA852114:JFA852115 JOW852114:JOW852115 JYS852114:JYS852115 KIO852114:KIO852115 KSK852114:KSK852115 LCG852114:LCG852115 LMC852114:LMC852115 LVY852114:LVY852115 MFU852114:MFU852115 MPQ852114:MPQ852115 MZM852114:MZM852115 NJI852114:NJI852115 NTE852114:NTE852115 ODA852114:ODA852115 OMW852114:OMW852115 OWS852114:OWS852115 PGO852114:PGO852115 PQK852114:PQK852115 QAG852114:QAG852115 QKC852114:QKC852115 QTY852114:QTY852115 RDU852114:RDU852115 RNQ852114:RNQ852115 RXM852114:RXM852115 SHI852114:SHI852115 SRE852114:SRE852115 TBA852114:TBA852115 TKW852114:TKW852115 TUS852114:TUS852115 UEO852114:UEO852115 UOK852114:UOK852115 UYG852114:UYG852115 VIC852114:VIC852115 VRY852114:VRY852115 WBU852114:WBU852115 WLQ852114:WLQ852115 WVM852114:WVM852115 E917650:E917651 JA917650:JA917651 SW917650:SW917651 ACS917650:ACS917651 AMO917650:AMO917651 AWK917650:AWK917651 BGG917650:BGG917651 BQC917650:BQC917651 BZY917650:BZY917651 CJU917650:CJU917651 CTQ917650:CTQ917651 DDM917650:DDM917651 DNI917650:DNI917651 DXE917650:DXE917651 EHA917650:EHA917651 EQW917650:EQW917651 FAS917650:FAS917651 FKO917650:FKO917651 FUK917650:FUK917651 GEG917650:GEG917651 GOC917650:GOC917651 GXY917650:GXY917651 HHU917650:HHU917651 HRQ917650:HRQ917651 IBM917650:IBM917651 ILI917650:ILI917651 IVE917650:IVE917651 JFA917650:JFA917651 JOW917650:JOW917651 JYS917650:JYS917651 KIO917650:KIO917651 KSK917650:KSK917651 LCG917650:LCG917651 LMC917650:LMC917651 LVY917650:LVY917651 MFU917650:MFU917651 MPQ917650:MPQ917651 MZM917650:MZM917651 NJI917650:NJI917651 NTE917650:NTE917651 ODA917650:ODA917651 OMW917650:OMW917651 OWS917650:OWS917651 PGO917650:PGO917651 PQK917650:PQK917651 QAG917650:QAG917651 QKC917650:QKC917651 QTY917650:QTY917651 RDU917650:RDU917651 RNQ917650:RNQ917651 RXM917650:RXM917651 SHI917650:SHI917651 SRE917650:SRE917651 TBA917650:TBA917651 TKW917650:TKW917651 TUS917650:TUS917651 UEO917650:UEO917651 UOK917650:UOK917651 UYG917650:UYG917651 VIC917650:VIC917651 VRY917650:VRY917651 WBU917650:WBU917651 WLQ917650:WLQ917651 WVM917650:WVM917651 E983186:E983187 JA983186:JA983187 SW983186:SW983187 ACS983186:ACS983187 AMO983186:AMO983187 AWK983186:AWK983187 BGG983186:BGG983187 BQC983186:BQC983187 BZY983186:BZY983187 CJU983186:CJU983187 CTQ983186:CTQ983187 DDM983186:DDM983187 DNI983186:DNI983187 DXE983186:DXE983187 EHA983186:EHA983187 EQW983186:EQW983187 FAS983186:FAS983187 FKO983186:FKO983187 FUK983186:FUK983187 GEG983186:GEG983187 GOC983186:GOC983187 GXY983186:GXY983187 HHU983186:HHU983187 HRQ983186:HRQ983187 IBM983186:IBM983187 ILI983186:ILI983187 IVE983186:IVE983187 JFA983186:JFA983187 JOW983186:JOW983187 JYS983186:JYS983187 KIO983186:KIO983187 KSK983186:KSK983187 LCG983186:LCG983187 LMC983186:LMC983187 LVY983186:LVY983187 MFU983186:MFU983187 MPQ983186:MPQ983187 MZM983186:MZM983187 NJI983186:NJI983187 NTE983186:NTE983187 ODA983186:ODA983187 OMW983186:OMW983187 OWS983186:OWS983187 PGO983186:PGO983187 PQK983186:PQK983187 QAG983186:QAG983187 QKC983186:QKC983187 QTY983186:QTY983187 RDU983186:RDU983187 RNQ983186:RNQ983187 RXM983186:RXM983187 SHI983186:SHI983187 SRE983186:SRE983187 TBA983186:TBA983187 TKW983186:TKW983187 TUS983186:TUS983187 UEO983186:UEO983187 UOK983186:UOK983187 UYG983186:UYG983187 VIC983186:VIC983187 VRY983186:VRY983187 WBU983186:WBU983187 WLQ983186:WLQ983187 WVM983186:WVM983187 C115:D115 IY115:IZ115 SU115:SV115 ACQ115:ACR115 AMM115:AMN115 AWI115:AWJ115 BGE115:BGF115 BQA115:BQB115 BZW115:BZX115 CJS115:CJT115 CTO115:CTP115 DDK115:DDL115 DNG115:DNH115 DXC115:DXD115 EGY115:EGZ115 EQU115:EQV115 FAQ115:FAR115 FKM115:FKN115 FUI115:FUJ115 GEE115:GEF115 GOA115:GOB115 GXW115:GXX115 HHS115:HHT115 HRO115:HRP115 IBK115:IBL115 ILG115:ILH115 IVC115:IVD115 JEY115:JEZ115 JOU115:JOV115 JYQ115:JYR115 KIM115:KIN115 KSI115:KSJ115 LCE115:LCF115 LMA115:LMB115 LVW115:LVX115 MFS115:MFT115 MPO115:MPP115 MZK115:MZL115 NJG115:NJH115 NTC115:NTD115 OCY115:OCZ115 OMU115:OMV115 OWQ115:OWR115 PGM115:PGN115 PQI115:PQJ115 QAE115:QAF115 QKA115:QKB115 QTW115:QTX115 RDS115:RDT115 RNO115:RNP115 RXK115:RXL115 SHG115:SHH115 SRC115:SRD115 TAY115:TAZ115 TKU115:TKV115 TUQ115:TUR115 UEM115:UEN115 UOI115:UOJ115 UYE115:UYF115 VIA115:VIB115 VRW115:VRX115 WBS115:WBT115 WLO115:WLP115 WVK115:WVL115 C65651:D65651 IY65651:IZ65651 SU65651:SV65651 ACQ65651:ACR65651 AMM65651:AMN65651 AWI65651:AWJ65651 BGE65651:BGF65651 BQA65651:BQB65651 BZW65651:BZX65651 CJS65651:CJT65651 CTO65651:CTP65651 DDK65651:DDL65651 DNG65651:DNH65651 DXC65651:DXD65651 EGY65651:EGZ65651 EQU65651:EQV65651 FAQ65651:FAR65651 FKM65651:FKN65651 FUI65651:FUJ65651 GEE65651:GEF65651 GOA65651:GOB65651 GXW65651:GXX65651 HHS65651:HHT65651 HRO65651:HRP65651 IBK65651:IBL65651 ILG65651:ILH65651 IVC65651:IVD65651 JEY65651:JEZ65651 JOU65651:JOV65651 JYQ65651:JYR65651 KIM65651:KIN65651 KSI65651:KSJ65651 LCE65651:LCF65651 LMA65651:LMB65651 LVW65651:LVX65651 MFS65651:MFT65651 MPO65651:MPP65651 MZK65651:MZL65651 NJG65651:NJH65651 NTC65651:NTD65651 OCY65651:OCZ65651 OMU65651:OMV65651 OWQ65651:OWR65651 PGM65651:PGN65651 PQI65651:PQJ65651 QAE65651:QAF65651 QKA65651:QKB65651 QTW65651:QTX65651 RDS65651:RDT65651 RNO65651:RNP65651 RXK65651:RXL65651 SHG65651:SHH65651 SRC65651:SRD65651 TAY65651:TAZ65651 TKU65651:TKV65651 TUQ65651:TUR65651 UEM65651:UEN65651 UOI65651:UOJ65651 UYE65651:UYF65651 VIA65651:VIB65651 VRW65651:VRX65651 WBS65651:WBT65651 WLO65651:WLP65651 WVK65651:WVL65651 C131187:D131187 IY131187:IZ131187 SU131187:SV131187 ACQ131187:ACR131187 AMM131187:AMN131187 AWI131187:AWJ131187 BGE131187:BGF131187 BQA131187:BQB131187 BZW131187:BZX131187 CJS131187:CJT131187 CTO131187:CTP131187 DDK131187:DDL131187 DNG131187:DNH131187 DXC131187:DXD131187 EGY131187:EGZ131187 EQU131187:EQV131187 FAQ131187:FAR131187 FKM131187:FKN131187 FUI131187:FUJ131187 GEE131187:GEF131187 GOA131187:GOB131187 GXW131187:GXX131187 HHS131187:HHT131187 HRO131187:HRP131187 IBK131187:IBL131187 ILG131187:ILH131187 IVC131187:IVD131187 JEY131187:JEZ131187 JOU131187:JOV131187 JYQ131187:JYR131187 KIM131187:KIN131187 KSI131187:KSJ131187 LCE131187:LCF131187 LMA131187:LMB131187 LVW131187:LVX131187 MFS131187:MFT131187 MPO131187:MPP131187 MZK131187:MZL131187 NJG131187:NJH131187 NTC131187:NTD131187 OCY131187:OCZ131187 OMU131187:OMV131187 OWQ131187:OWR131187 PGM131187:PGN131187 PQI131187:PQJ131187 QAE131187:QAF131187 QKA131187:QKB131187 QTW131187:QTX131187 RDS131187:RDT131187 RNO131187:RNP131187 RXK131187:RXL131187 SHG131187:SHH131187 SRC131187:SRD131187 TAY131187:TAZ131187 TKU131187:TKV131187 TUQ131187:TUR131187 UEM131187:UEN131187 UOI131187:UOJ131187 UYE131187:UYF131187 VIA131187:VIB131187 VRW131187:VRX131187 WBS131187:WBT131187 WLO131187:WLP131187 WVK131187:WVL131187 C196723:D196723 IY196723:IZ196723 SU196723:SV196723 ACQ196723:ACR196723 AMM196723:AMN196723 AWI196723:AWJ196723 BGE196723:BGF196723 BQA196723:BQB196723 BZW196723:BZX196723 CJS196723:CJT196723 CTO196723:CTP196723 DDK196723:DDL196723 DNG196723:DNH196723 DXC196723:DXD196723 EGY196723:EGZ196723 EQU196723:EQV196723 FAQ196723:FAR196723 FKM196723:FKN196723 FUI196723:FUJ196723 GEE196723:GEF196723 GOA196723:GOB196723 GXW196723:GXX196723 HHS196723:HHT196723 HRO196723:HRP196723 IBK196723:IBL196723 ILG196723:ILH196723 IVC196723:IVD196723 JEY196723:JEZ196723 JOU196723:JOV196723 JYQ196723:JYR196723 KIM196723:KIN196723 KSI196723:KSJ196723 LCE196723:LCF196723 LMA196723:LMB196723 LVW196723:LVX196723 MFS196723:MFT196723 MPO196723:MPP196723 MZK196723:MZL196723 NJG196723:NJH196723 NTC196723:NTD196723 OCY196723:OCZ196723 OMU196723:OMV196723 OWQ196723:OWR196723 PGM196723:PGN196723 PQI196723:PQJ196723 QAE196723:QAF196723 QKA196723:QKB196723 QTW196723:QTX196723 RDS196723:RDT196723 RNO196723:RNP196723 RXK196723:RXL196723 SHG196723:SHH196723 SRC196723:SRD196723 TAY196723:TAZ196723 TKU196723:TKV196723 TUQ196723:TUR196723 UEM196723:UEN196723 UOI196723:UOJ196723 UYE196723:UYF196723 VIA196723:VIB196723 VRW196723:VRX196723 WBS196723:WBT196723 WLO196723:WLP196723 WVK196723:WVL196723 C262259:D262259 IY262259:IZ262259 SU262259:SV262259 ACQ262259:ACR262259 AMM262259:AMN262259 AWI262259:AWJ262259 BGE262259:BGF262259 BQA262259:BQB262259 BZW262259:BZX262259 CJS262259:CJT262259 CTO262259:CTP262259 DDK262259:DDL262259 DNG262259:DNH262259 DXC262259:DXD262259 EGY262259:EGZ262259 EQU262259:EQV262259 FAQ262259:FAR262259 FKM262259:FKN262259 FUI262259:FUJ262259 GEE262259:GEF262259 GOA262259:GOB262259 GXW262259:GXX262259 HHS262259:HHT262259 HRO262259:HRP262259 IBK262259:IBL262259 ILG262259:ILH262259 IVC262259:IVD262259 JEY262259:JEZ262259 JOU262259:JOV262259 JYQ262259:JYR262259 KIM262259:KIN262259 KSI262259:KSJ262259 LCE262259:LCF262259 LMA262259:LMB262259 LVW262259:LVX262259 MFS262259:MFT262259 MPO262259:MPP262259 MZK262259:MZL262259 NJG262259:NJH262259 NTC262259:NTD262259 OCY262259:OCZ262259 OMU262259:OMV262259 OWQ262259:OWR262259 PGM262259:PGN262259 PQI262259:PQJ262259 QAE262259:QAF262259 QKA262259:QKB262259 QTW262259:QTX262259 RDS262259:RDT262259 RNO262259:RNP262259 RXK262259:RXL262259 SHG262259:SHH262259 SRC262259:SRD262259 TAY262259:TAZ262259 TKU262259:TKV262259 TUQ262259:TUR262259 UEM262259:UEN262259 UOI262259:UOJ262259 UYE262259:UYF262259 VIA262259:VIB262259 VRW262259:VRX262259 WBS262259:WBT262259 WLO262259:WLP262259 WVK262259:WVL262259 C327795:D327795 IY327795:IZ327795 SU327795:SV327795 ACQ327795:ACR327795 AMM327795:AMN327795 AWI327795:AWJ327795 BGE327795:BGF327795 BQA327795:BQB327795 BZW327795:BZX327795 CJS327795:CJT327795 CTO327795:CTP327795 DDK327795:DDL327795 DNG327795:DNH327795 DXC327795:DXD327795 EGY327795:EGZ327795 EQU327795:EQV327795 FAQ327795:FAR327795 FKM327795:FKN327795 FUI327795:FUJ327795 GEE327795:GEF327795 GOA327795:GOB327795 GXW327795:GXX327795 HHS327795:HHT327795 HRO327795:HRP327795 IBK327795:IBL327795 ILG327795:ILH327795 IVC327795:IVD327795 JEY327795:JEZ327795 JOU327795:JOV327795 JYQ327795:JYR327795 KIM327795:KIN327795 KSI327795:KSJ327795 LCE327795:LCF327795 LMA327795:LMB327795 LVW327795:LVX327795 MFS327795:MFT327795 MPO327795:MPP327795 MZK327795:MZL327795 NJG327795:NJH327795 NTC327795:NTD327795 OCY327795:OCZ327795 OMU327795:OMV327795 OWQ327795:OWR327795 PGM327795:PGN327795 PQI327795:PQJ327795 QAE327795:QAF327795 QKA327795:QKB327795 QTW327795:QTX327795 RDS327795:RDT327795 RNO327795:RNP327795 RXK327795:RXL327795 SHG327795:SHH327795 SRC327795:SRD327795 TAY327795:TAZ327795 TKU327795:TKV327795 TUQ327795:TUR327795 UEM327795:UEN327795 UOI327795:UOJ327795 UYE327795:UYF327795 VIA327795:VIB327795 VRW327795:VRX327795 WBS327795:WBT327795 WLO327795:WLP327795 WVK327795:WVL327795 C393331:D393331 IY393331:IZ393331 SU393331:SV393331 ACQ393331:ACR393331 AMM393331:AMN393331 AWI393331:AWJ393331 BGE393331:BGF393331 BQA393331:BQB393331 BZW393331:BZX393331 CJS393331:CJT393331 CTO393331:CTP393331 DDK393331:DDL393331 DNG393331:DNH393331 DXC393331:DXD393331 EGY393331:EGZ393331 EQU393331:EQV393331 FAQ393331:FAR393331 FKM393331:FKN393331 FUI393331:FUJ393331 GEE393331:GEF393331 GOA393331:GOB393331 GXW393331:GXX393331 HHS393331:HHT393331 HRO393331:HRP393331 IBK393331:IBL393331 ILG393331:ILH393331 IVC393331:IVD393331 JEY393331:JEZ393331 JOU393331:JOV393331 JYQ393331:JYR393331 KIM393331:KIN393331 KSI393331:KSJ393331 LCE393331:LCF393331 LMA393331:LMB393331 LVW393331:LVX393331 MFS393331:MFT393331 MPO393331:MPP393331 MZK393331:MZL393331 NJG393331:NJH393331 NTC393331:NTD393331 OCY393331:OCZ393331 OMU393331:OMV393331 OWQ393331:OWR393331 PGM393331:PGN393331 PQI393331:PQJ393331 QAE393331:QAF393331 QKA393331:QKB393331 QTW393331:QTX393331 RDS393331:RDT393331 RNO393331:RNP393331 RXK393331:RXL393331 SHG393331:SHH393331 SRC393331:SRD393331 TAY393331:TAZ393331 TKU393331:TKV393331 TUQ393331:TUR393331 UEM393331:UEN393331 UOI393331:UOJ393331 UYE393331:UYF393331 VIA393331:VIB393331 VRW393331:VRX393331 WBS393331:WBT393331 WLO393331:WLP393331 WVK393331:WVL393331 C458867:D458867 IY458867:IZ458867 SU458867:SV458867 ACQ458867:ACR458867 AMM458867:AMN458867 AWI458867:AWJ458867 BGE458867:BGF458867 BQA458867:BQB458867 BZW458867:BZX458867 CJS458867:CJT458867 CTO458867:CTP458867 DDK458867:DDL458867 DNG458867:DNH458867 DXC458867:DXD458867 EGY458867:EGZ458867 EQU458867:EQV458867 FAQ458867:FAR458867 FKM458867:FKN458867 FUI458867:FUJ458867 GEE458867:GEF458867 GOA458867:GOB458867 GXW458867:GXX458867 HHS458867:HHT458867 HRO458867:HRP458867 IBK458867:IBL458867 ILG458867:ILH458867 IVC458867:IVD458867 JEY458867:JEZ458867 JOU458867:JOV458867 JYQ458867:JYR458867 KIM458867:KIN458867 KSI458867:KSJ458867 LCE458867:LCF458867 LMA458867:LMB458867 LVW458867:LVX458867 MFS458867:MFT458867 MPO458867:MPP458867 MZK458867:MZL458867 NJG458867:NJH458867 NTC458867:NTD458867 OCY458867:OCZ458867 OMU458867:OMV458867 OWQ458867:OWR458867 PGM458867:PGN458867 PQI458867:PQJ458867 QAE458867:QAF458867 QKA458867:QKB458867 QTW458867:QTX458867 RDS458867:RDT458867 RNO458867:RNP458867 RXK458867:RXL458867 SHG458867:SHH458867 SRC458867:SRD458867 TAY458867:TAZ458867 TKU458867:TKV458867 TUQ458867:TUR458867 UEM458867:UEN458867 UOI458867:UOJ458867 UYE458867:UYF458867 VIA458867:VIB458867 VRW458867:VRX458867 WBS458867:WBT458867 WLO458867:WLP458867 WVK458867:WVL458867 C524403:D524403 IY524403:IZ524403 SU524403:SV524403 ACQ524403:ACR524403 AMM524403:AMN524403 AWI524403:AWJ524403 BGE524403:BGF524403 BQA524403:BQB524403 BZW524403:BZX524403 CJS524403:CJT524403 CTO524403:CTP524403 DDK524403:DDL524403 DNG524403:DNH524403 DXC524403:DXD524403 EGY524403:EGZ524403 EQU524403:EQV524403 FAQ524403:FAR524403 FKM524403:FKN524403 FUI524403:FUJ524403 GEE524403:GEF524403 GOA524403:GOB524403 GXW524403:GXX524403 HHS524403:HHT524403 HRO524403:HRP524403 IBK524403:IBL524403 ILG524403:ILH524403 IVC524403:IVD524403 JEY524403:JEZ524403 JOU524403:JOV524403 JYQ524403:JYR524403 KIM524403:KIN524403 KSI524403:KSJ524403 LCE524403:LCF524403 LMA524403:LMB524403 LVW524403:LVX524403 MFS524403:MFT524403 MPO524403:MPP524403 MZK524403:MZL524403 NJG524403:NJH524403 NTC524403:NTD524403 OCY524403:OCZ524403 OMU524403:OMV524403 OWQ524403:OWR524403 PGM524403:PGN524403 PQI524403:PQJ524403 QAE524403:QAF524403 QKA524403:QKB524403 QTW524403:QTX524403 RDS524403:RDT524403 RNO524403:RNP524403 RXK524403:RXL524403 SHG524403:SHH524403 SRC524403:SRD524403 TAY524403:TAZ524403 TKU524403:TKV524403 TUQ524403:TUR524403 UEM524403:UEN524403 UOI524403:UOJ524403 UYE524403:UYF524403 VIA524403:VIB524403 VRW524403:VRX524403 WBS524403:WBT524403 WLO524403:WLP524403 WVK524403:WVL524403 C589939:D589939 IY589939:IZ589939 SU589939:SV589939 ACQ589939:ACR589939 AMM589939:AMN589939 AWI589939:AWJ589939 BGE589939:BGF589939 BQA589939:BQB589939 BZW589939:BZX589939 CJS589939:CJT589939 CTO589939:CTP589939 DDK589939:DDL589939 DNG589939:DNH589939 DXC589939:DXD589939 EGY589939:EGZ589939 EQU589939:EQV589939 FAQ589939:FAR589939 FKM589939:FKN589939 FUI589939:FUJ589939 GEE589939:GEF589939 GOA589939:GOB589939 GXW589939:GXX589939 HHS589939:HHT589939 HRO589939:HRP589939 IBK589939:IBL589939 ILG589939:ILH589939 IVC589939:IVD589939 JEY589939:JEZ589939 JOU589939:JOV589939 JYQ589939:JYR589939 KIM589939:KIN589939 KSI589939:KSJ589939 LCE589939:LCF589939 LMA589939:LMB589939 LVW589939:LVX589939 MFS589939:MFT589939 MPO589939:MPP589939 MZK589939:MZL589939 NJG589939:NJH589939 NTC589939:NTD589939 OCY589939:OCZ589939 OMU589939:OMV589939 OWQ589939:OWR589939 PGM589939:PGN589939 PQI589939:PQJ589939 QAE589939:QAF589939 QKA589939:QKB589939 QTW589939:QTX589939 RDS589939:RDT589939 RNO589939:RNP589939 RXK589939:RXL589939 SHG589939:SHH589939 SRC589939:SRD589939 TAY589939:TAZ589939 TKU589939:TKV589939 TUQ589939:TUR589939 UEM589939:UEN589939 UOI589939:UOJ589939 UYE589939:UYF589939 VIA589939:VIB589939 VRW589939:VRX589939 WBS589939:WBT589939 WLO589939:WLP589939 WVK589939:WVL589939 C655475:D655475 IY655475:IZ655475 SU655475:SV655475 ACQ655475:ACR655475 AMM655475:AMN655475 AWI655475:AWJ655475 BGE655475:BGF655475 BQA655475:BQB655475 BZW655475:BZX655475 CJS655475:CJT655475 CTO655475:CTP655475 DDK655475:DDL655475 DNG655475:DNH655475 DXC655475:DXD655475 EGY655475:EGZ655475 EQU655475:EQV655475 FAQ655475:FAR655475 FKM655475:FKN655475 FUI655475:FUJ655475 GEE655475:GEF655475 GOA655475:GOB655475 GXW655475:GXX655475 HHS655475:HHT655475 HRO655475:HRP655475 IBK655475:IBL655475 ILG655475:ILH655475 IVC655475:IVD655475 JEY655475:JEZ655475 JOU655475:JOV655475 JYQ655475:JYR655475 KIM655475:KIN655475 KSI655475:KSJ655475 LCE655475:LCF655475 LMA655475:LMB655475 LVW655475:LVX655475 MFS655475:MFT655475 MPO655475:MPP655475 MZK655475:MZL655475 NJG655475:NJH655475 NTC655475:NTD655475 OCY655475:OCZ655475 OMU655475:OMV655475 OWQ655475:OWR655475 PGM655475:PGN655475 PQI655475:PQJ655475 QAE655475:QAF655475 QKA655475:QKB655475 QTW655475:QTX655475 RDS655475:RDT655475 RNO655475:RNP655475 RXK655475:RXL655475 SHG655475:SHH655475 SRC655475:SRD655475 TAY655475:TAZ655475 TKU655475:TKV655475 TUQ655475:TUR655475 UEM655475:UEN655475 UOI655475:UOJ655475 UYE655475:UYF655475 VIA655475:VIB655475 VRW655475:VRX655475 WBS655475:WBT655475 WLO655475:WLP655475 WVK655475:WVL655475 C721011:D721011 IY721011:IZ721011 SU721011:SV721011 ACQ721011:ACR721011 AMM721011:AMN721011 AWI721011:AWJ721011 BGE721011:BGF721011 BQA721011:BQB721011 BZW721011:BZX721011 CJS721011:CJT721011 CTO721011:CTP721011 DDK721011:DDL721011 DNG721011:DNH721011 DXC721011:DXD721011 EGY721011:EGZ721011 EQU721011:EQV721011 FAQ721011:FAR721011 FKM721011:FKN721011 FUI721011:FUJ721011 GEE721011:GEF721011 GOA721011:GOB721011 GXW721011:GXX721011 HHS721011:HHT721011 HRO721011:HRP721011 IBK721011:IBL721011 ILG721011:ILH721011 IVC721011:IVD721011 JEY721011:JEZ721011 JOU721011:JOV721011 JYQ721011:JYR721011 KIM721011:KIN721011 KSI721011:KSJ721011 LCE721011:LCF721011 LMA721011:LMB721011 LVW721011:LVX721011 MFS721011:MFT721011 MPO721011:MPP721011 MZK721011:MZL721011 NJG721011:NJH721011 NTC721011:NTD721011 OCY721011:OCZ721011 OMU721011:OMV721011 OWQ721011:OWR721011 PGM721011:PGN721011 PQI721011:PQJ721011 QAE721011:QAF721011 QKA721011:QKB721011 QTW721011:QTX721011 RDS721011:RDT721011 RNO721011:RNP721011 RXK721011:RXL721011 SHG721011:SHH721011 SRC721011:SRD721011 TAY721011:TAZ721011 TKU721011:TKV721011 TUQ721011:TUR721011 UEM721011:UEN721011 UOI721011:UOJ721011 UYE721011:UYF721011 VIA721011:VIB721011 VRW721011:VRX721011 WBS721011:WBT721011 WLO721011:WLP721011 WVK721011:WVL721011 C786547:D786547 IY786547:IZ786547 SU786547:SV786547 ACQ786547:ACR786547 AMM786547:AMN786547 AWI786547:AWJ786547 BGE786547:BGF786547 BQA786547:BQB786547 BZW786547:BZX786547 CJS786547:CJT786547 CTO786547:CTP786547 DDK786547:DDL786547 DNG786547:DNH786547 DXC786547:DXD786547 EGY786547:EGZ786547 EQU786547:EQV786547 FAQ786547:FAR786547 FKM786547:FKN786547 FUI786547:FUJ786547 GEE786547:GEF786547 GOA786547:GOB786547 GXW786547:GXX786547 HHS786547:HHT786547 HRO786547:HRP786547 IBK786547:IBL786547 ILG786547:ILH786547 IVC786547:IVD786547 JEY786547:JEZ786547 JOU786547:JOV786547 JYQ786547:JYR786547 KIM786547:KIN786547 KSI786547:KSJ786547 LCE786547:LCF786547 LMA786547:LMB786547 LVW786547:LVX786547 MFS786547:MFT786547 MPO786547:MPP786547 MZK786547:MZL786547 NJG786547:NJH786547 NTC786547:NTD786547 OCY786547:OCZ786547 OMU786547:OMV786547 OWQ786547:OWR786547 PGM786547:PGN786547 PQI786547:PQJ786547 QAE786547:QAF786547 QKA786547:QKB786547 QTW786547:QTX786547 RDS786547:RDT786547 RNO786547:RNP786547 RXK786547:RXL786547 SHG786547:SHH786547 SRC786547:SRD786547 TAY786547:TAZ786547 TKU786547:TKV786547 TUQ786547:TUR786547 UEM786547:UEN786547 UOI786547:UOJ786547 UYE786547:UYF786547 VIA786547:VIB786547 VRW786547:VRX786547 WBS786547:WBT786547 WLO786547:WLP786547 WVK786547:WVL786547 C852083:D852083 IY852083:IZ852083 SU852083:SV852083 ACQ852083:ACR852083 AMM852083:AMN852083 AWI852083:AWJ852083 BGE852083:BGF852083 BQA852083:BQB852083 BZW852083:BZX852083 CJS852083:CJT852083 CTO852083:CTP852083 DDK852083:DDL852083 DNG852083:DNH852083 DXC852083:DXD852083 EGY852083:EGZ852083 EQU852083:EQV852083 FAQ852083:FAR852083 FKM852083:FKN852083 FUI852083:FUJ852083 GEE852083:GEF852083 GOA852083:GOB852083 GXW852083:GXX852083 HHS852083:HHT852083 HRO852083:HRP852083 IBK852083:IBL852083 ILG852083:ILH852083 IVC852083:IVD852083 JEY852083:JEZ852083 JOU852083:JOV852083 JYQ852083:JYR852083 KIM852083:KIN852083 KSI852083:KSJ852083 LCE852083:LCF852083 LMA852083:LMB852083 LVW852083:LVX852083 MFS852083:MFT852083 MPO852083:MPP852083 MZK852083:MZL852083 NJG852083:NJH852083 NTC852083:NTD852083 OCY852083:OCZ852083 OMU852083:OMV852083 OWQ852083:OWR852083 PGM852083:PGN852083 PQI852083:PQJ852083 QAE852083:QAF852083 QKA852083:QKB852083 QTW852083:QTX852083 RDS852083:RDT852083 RNO852083:RNP852083 RXK852083:RXL852083 SHG852083:SHH852083 SRC852083:SRD852083 TAY852083:TAZ852083 TKU852083:TKV852083 TUQ852083:TUR852083 UEM852083:UEN852083 UOI852083:UOJ852083 UYE852083:UYF852083 VIA852083:VIB852083 VRW852083:VRX852083 WBS852083:WBT852083 WLO852083:WLP852083 WVK852083:WVL852083 C917619:D917619 IY917619:IZ917619 SU917619:SV917619 ACQ917619:ACR917619 AMM917619:AMN917619 AWI917619:AWJ917619 BGE917619:BGF917619 BQA917619:BQB917619 BZW917619:BZX917619 CJS917619:CJT917619 CTO917619:CTP917619 DDK917619:DDL917619 DNG917619:DNH917619 DXC917619:DXD917619 EGY917619:EGZ917619 EQU917619:EQV917619 FAQ917619:FAR917619 FKM917619:FKN917619 FUI917619:FUJ917619 GEE917619:GEF917619 GOA917619:GOB917619 GXW917619:GXX917619 HHS917619:HHT917619 HRO917619:HRP917619 IBK917619:IBL917619 ILG917619:ILH917619 IVC917619:IVD917619 JEY917619:JEZ917619 JOU917619:JOV917619 JYQ917619:JYR917619 KIM917619:KIN917619 KSI917619:KSJ917619 LCE917619:LCF917619 LMA917619:LMB917619 LVW917619:LVX917619 MFS917619:MFT917619 MPO917619:MPP917619 MZK917619:MZL917619 NJG917619:NJH917619 NTC917619:NTD917619 OCY917619:OCZ917619 OMU917619:OMV917619 OWQ917619:OWR917619 PGM917619:PGN917619 PQI917619:PQJ917619 QAE917619:QAF917619 QKA917619:QKB917619 QTW917619:QTX917619 RDS917619:RDT917619 RNO917619:RNP917619 RXK917619:RXL917619 SHG917619:SHH917619 SRC917619:SRD917619 TAY917619:TAZ917619 TKU917619:TKV917619 TUQ917619:TUR917619 UEM917619:UEN917619 UOI917619:UOJ917619 UYE917619:UYF917619 VIA917619:VIB917619 VRW917619:VRX917619 WBS917619:WBT917619 WLO917619:WLP917619 WVK917619:WVL917619 C983155:D983155 IY983155:IZ983155 SU983155:SV983155 ACQ983155:ACR983155 AMM983155:AMN983155 AWI983155:AWJ983155 BGE983155:BGF983155 BQA983155:BQB983155 BZW983155:BZX983155 CJS983155:CJT983155 CTO983155:CTP983155 DDK983155:DDL983155 DNG983155:DNH983155 DXC983155:DXD983155 EGY983155:EGZ983155 EQU983155:EQV983155 FAQ983155:FAR983155 FKM983155:FKN983155 FUI983155:FUJ983155 GEE983155:GEF983155 GOA983155:GOB983155 GXW983155:GXX983155 HHS983155:HHT983155 HRO983155:HRP983155 IBK983155:IBL983155 ILG983155:ILH983155 IVC983155:IVD983155 JEY983155:JEZ983155 JOU983155:JOV983155 JYQ983155:JYR983155 KIM983155:KIN983155 KSI983155:KSJ983155 LCE983155:LCF983155 LMA983155:LMB983155 LVW983155:LVX983155 MFS983155:MFT983155 MPO983155:MPP983155 MZK983155:MZL983155 NJG983155:NJH983155 NTC983155:NTD983155 OCY983155:OCZ983155 OMU983155:OMV983155 OWQ983155:OWR983155 PGM983155:PGN983155 PQI983155:PQJ983155 QAE983155:QAF983155 QKA983155:QKB983155 QTW983155:QTX983155 RDS983155:RDT983155 RNO983155:RNP983155 RXK983155:RXL983155 SHG983155:SHH983155 SRC983155:SRD983155 TAY983155:TAZ983155 TKU983155:TKV983155 TUQ983155:TUR983155 UEM983155:UEN983155 UOI983155:UOJ983155 UYE983155:UYF983155 VIA983155:VIB983155 VRW983155:VRX983155 WBS983155:WBT983155 WLO983155:WLP983155 WVK983155:WVL983155 E130:E131 JA130:JA131 SW130:SW131 ACS130:ACS131 AMO130:AMO131 AWK130:AWK131 BGG130:BGG131 BQC130:BQC131 BZY130:BZY131 CJU130:CJU131 CTQ130:CTQ131 DDM130:DDM131 DNI130:DNI131 DXE130:DXE131 EHA130:EHA131 EQW130:EQW131 FAS130:FAS131 FKO130:FKO131 FUK130:FUK131 GEG130:GEG131 GOC130:GOC131 GXY130:GXY131 HHU130:HHU131 HRQ130:HRQ131 IBM130:IBM131 ILI130:ILI131 IVE130:IVE131 JFA130:JFA131 JOW130:JOW131 JYS130:JYS131 KIO130:KIO131 KSK130:KSK131 LCG130:LCG131 LMC130:LMC131 LVY130:LVY131 MFU130:MFU131 MPQ130:MPQ131 MZM130:MZM131 NJI130:NJI131 NTE130:NTE131 ODA130:ODA131 OMW130:OMW131 OWS130:OWS131 PGO130:PGO131 PQK130:PQK131 QAG130:QAG131 QKC130:QKC131 QTY130:QTY131 RDU130:RDU131 RNQ130:RNQ131 RXM130:RXM131 SHI130:SHI131 SRE130:SRE131 TBA130:TBA131 TKW130:TKW131 TUS130:TUS131 UEO130:UEO131 UOK130:UOK131 UYG130:UYG131 VIC130:VIC131 VRY130:VRY131 WBU130:WBU131 WLQ130:WLQ131 WVM130:WVM131 E65666:E65667 JA65666:JA65667 SW65666:SW65667 ACS65666:ACS65667 AMO65666:AMO65667 AWK65666:AWK65667 BGG65666:BGG65667 BQC65666:BQC65667 BZY65666:BZY65667 CJU65666:CJU65667 CTQ65666:CTQ65667 DDM65666:DDM65667 DNI65666:DNI65667 DXE65666:DXE65667 EHA65666:EHA65667 EQW65666:EQW65667 FAS65666:FAS65667 FKO65666:FKO65667 FUK65666:FUK65667 GEG65666:GEG65667 GOC65666:GOC65667 GXY65666:GXY65667 HHU65666:HHU65667 HRQ65666:HRQ65667 IBM65666:IBM65667 ILI65666:ILI65667 IVE65666:IVE65667 JFA65666:JFA65667 JOW65666:JOW65667 JYS65666:JYS65667 KIO65666:KIO65667 KSK65666:KSK65667 LCG65666:LCG65667 LMC65666:LMC65667 LVY65666:LVY65667 MFU65666:MFU65667 MPQ65666:MPQ65667 MZM65666:MZM65667 NJI65666:NJI65667 NTE65666:NTE65667 ODA65666:ODA65667 OMW65666:OMW65667 OWS65666:OWS65667 PGO65666:PGO65667 PQK65666:PQK65667 QAG65666:QAG65667 QKC65666:QKC65667 QTY65666:QTY65667 RDU65666:RDU65667 RNQ65666:RNQ65667 RXM65666:RXM65667 SHI65666:SHI65667 SRE65666:SRE65667 TBA65666:TBA65667 TKW65666:TKW65667 TUS65666:TUS65667 UEO65666:UEO65667 UOK65666:UOK65667 UYG65666:UYG65667 VIC65666:VIC65667 VRY65666:VRY65667 WBU65666:WBU65667 WLQ65666:WLQ65667 WVM65666:WVM65667 E131202:E131203 JA131202:JA131203 SW131202:SW131203 ACS131202:ACS131203 AMO131202:AMO131203 AWK131202:AWK131203 BGG131202:BGG131203 BQC131202:BQC131203 BZY131202:BZY131203 CJU131202:CJU131203 CTQ131202:CTQ131203 DDM131202:DDM131203 DNI131202:DNI131203 DXE131202:DXE131203 EHA131202:EHA131203 EQW131202:EQW131203 FAS131202:FAS131203 FKO131202:FKO131203 FUK131202:FUK131203 GEG131202:GEG131203 GOC131202:GOC131203 GXY131202:GXY131203 HHU131202:HHU131203 HRQ131202:HRQ131203 IBM131202:IBM131203 ILI131202:ILI131203 IVE131202:IVE131203 JFA131202:JFA131203 JOW131202:JOW131203 JYS131202:JYS131203 KIO131202:KIO131203 KSK131202:KSK131203 LCG131202:LCG131203 LMC131202:LMC131203 LVY131202:LVY131203 MFU131202:MFU131203 MPQ131202:MPQ131203 MZM131202:MZM131203 NJI131202:NJI131203 NTE131202:NTE131203 ODA131202:ODA131203 OMW131202:OMW131203 OWS131202:OWS131203 PGO131202:PGO131203 PQK131202:PQK131203 QAG131202:QAG131203 QKC131202:QKC131203 QTY131202:QTY131203 RDU131202:RDU131203 RNQ131202:RNQ131203 RXM131202:RXM131203 SHI131202:SHI131203 SRE131202:SRE131203 TBA131202:TBA131203 TKW131202:TKW131203 TUS131202:TUS131203 UEO131202:UEO131203 UOK131202:UOK131203 UYG131202:UYG131203 VIC131202:VIC131203 VRY131202:VRY131203 WBU131202:WBU131203 WLQ131202:WLQ131203 WVM131202:WVM131203 E196738:E196739 JA196738:JA196739 SW196738:SW196739 ACS196738:ACS196739 AMO196738:AMO196739 AWK196738:AWK196739 BGG196738:BGG196739 BQC196738:BQC196739 BZY196738:BZY196739 CJU196738:CJU196739 CTQ196738:CTQ196739 DDM196738:DDM196739 DNI196738:DNI196739 DXE196738:DXE196739 EHA196738:EHA196739 EQW196738:EQW196739 FAS196738:FAS196739 FKO196738:FKO196739 FUK196738:FUK196739 GEG196738:GEG196739 GOC196738:GOC196739 GXY196738:GXY196739 HHU196738:HHU196739 HRQ196738:HRQ196739 IBM196738:IBM196739 ILI196738:ILI196739 IVE196738:IVE196739 JFA196738:JFA196739 JOW196738:JOW196739 JYS196738:JYS196739 KIO196738:KIO196739 KSK196738:KSK196739 LCG196738:LCG196739 LMC196738:LMC196739 LVY196738:LVY196739 MFU196738:MFU196739 MPQ196738:MPQ196739 MZM196738:MZM196739 NJI196738:NJI196739 NTE196738:NTE196739 ODA196738:ODA196739 OMW196738:OMW196739 OWS196738:OWS196739 PGO196738:PGO196739 PQK196738:PQK196739 QAG196738:QAG196739 QKC196738:QKC196739 QTY196738:QTY196739 RDU196738:RDU196739 RNQ196738:RNQ196739 RXM196738:RXM196739 SHI196738:SHI196739 SRE196738:SRE196739 TBA196738:TBA196739 TKW196738:TKW196739 TUS196738:TUS196739 UEO196738:UEO196739 UOK196738:UOK196739 UYG196738:UYG196739 VIC196738:VIC196739 VRY196738:VRY196739 WBU196738:WBU196739 WLQ196738:WLQ196739 WVM196738:WVM196739 E262274:E262275 JA262274:JA262275 SW262274:SW262275 ACS262274:ACS262275 AMO262274:AMO262275 AWK262274:AWK262275 BGG262274:BGG262275 BQC262274:BQC262275 BZY262274:BZY262275 CJU262274:CJU262275 CTQ262274:CTQ262275 DDM262274:DDM262275 DNI262274:DNI262275 DXE262274:DXE262275 EHA262274:EHA262275 EQW262274:EQW262275 FAS262274:FAS262275 FKO262274:FKO262275 FUK262274:FUK262275 GEG262274:GEG262275 GOC262274:GOC262275 GXY262274:GXY262275 HHU262274:HHU262275 HRQ262274:HRQ262275 IBM262274:IBM262275 ILI262274:ILI262275 IVE262274:IVE262275 JFA262274:JFA262275 JOW262274:JOW262275 JYS262274:JYS262275 KIO262274:KIO262275 KSK262274:KSK262275 LCG262274:LCG262275 LMC262274:LMC262275 LVY262274:LVY262275 MFU262274:MFU262275 MPQ262274:MPQ262275 MZM262274:MZM262275 NJI262274:NJI262275 NTE262274:NTE262275 ODA262274:ODA262275 OMW262274:OMW262275 OWS262274:OWS262275 PGO262274:PGO262275 PQK262274:PQK262275 QAG262274:QAG262275 QKC262274:QKC262275 QTY262274:QTY262275 RDU262274:RDU262275 RNQ262274:RNQ262275 RXM262274:RXM262275 SHI262274:SHI262275 SRE262274:SRE262275 TBA262274:TBA262275 TKW262274:TKW262275 TUS262274:TUS262275 UEO262274:UEO262275 UOK262274:UOK262275 UYG262274:UYG262275 VIC262274:VIC262275 VRY262274:VRY262275 WBU262274:WBU262275 WLQ262274:WLQ262275 WVM262274:WVM262275 E327810:E327811 JA327810:JA327811 SW327810:SW327811 ACS327810:ACS327811 AMO327810:AMO327811 AWK327810:AWK327811 BGG327810:BGG327811 BQC327810:BQC327811 BZY327810:BZY327811 CJU327810:CJU327811 CTQ327810:CTQ327811 DDM327810:DDM327811 DNI327810:DNI327811 DXE327810:DXE327811 EHA327810:EHA327811 EQW327810:EQW327811 FAS327810:FAS327811 FKO327810:FKO327811 FUK327810:FUK327811 GEG327810:GEG327811 GOC327810:GOC327811 GXY327810:GXY327811 HHU327810:HHU327811 HRQ327810:HRQ327811 IBM327810:IBM327811 ILI327810:ILI327811 IVE327810:IVE327811 JFA327810:JFA327811 JOW327810:JOW327811 JYS327810:JYS327811 KIO327810:KIO327811 KSK327810:KSK327811 LCG327810:LCG327811 LMC327810:LMC327811 LVY327810:LVY327811 MFU327810:MFU327811 MPQ327810:MPQ327811 MZM327810:MZM327811 NJI327810:NJI327811 NTE327810:NTE327811 ODA327810:ODA327811 OMW327810:OMW327811 OWS327810:OWS327811 PGO327810:PGO327811 PQK327810:PQK327811 QAG327810:QAG327811 QKC327810:QKC327811 QTY327810:QTY327811 RDU327810:RDU327811 RNQ327810:RNQ327811 RXM327810:RXM327811 SHI327810:SHI327811 SRE327810:SRE327811 TBA327810:TBA327811 TKW327810:TKW327811 TUS327810:TUS327811 UEO327810:UEO327811 UOK327810:UOK327811 UYG327810:UYG327811 VIC327810:VIC327811 VRY327810:VRY327811 WBU327810:WBU327811 WLQ327810:WLQ327811 WVM327810:WVM327811 E393346:E393347 JA393346:JA393347 SW393346:SW393347 ACS393346:ACS393347 AMO393346:AMO393347 AWK393346:AWK393347 BGG393346:BGG393347 BQC393346:BQC393347 BZY393346:BZY393347 CJU393346:CJU393347 CTQ393346:CTQ393347 DDM393346:DDM393347 DNI393346:DNI393347 DXE393346:DXE393347 EHA393346:EHA393347 EQW393346:EQW393347 FAS393346:FAS393347 FKO393346:FKO393347 FUK393346:FUK393347 GEG393346:GEG393347 GOC393346:GOC393347 GXY393346:GXY393347 HHU393346:HHU393347 HRQ393346:HRQ393347 IBM393346:IBM393347 ILI393346:ILI393347 IVE393346:IVE393347 JFA393346:JFA393347 JOW393346:JOW393347 JYS393346:JYS393347 KIO393346:KIO393347 KSK393346:KSK393347 LCG393346:LCG393347 LMC393346:LMC393347 LVY393346:LVY393347 MFU393346:MFU393347 MPQ393346:MPQ393347 MZM393346:MZM393347 NJI393346:NJI393347 NTE393346:NTE393347 ODA393346:ODA393347 OMW393346:OMW393347 OWS393346:OWS393347 PGO393346:PGO393347 PQK393346:PQK393347 QAG393346:QAG393347 QKC393346:QKC393347 QTY393346:QTY393347 RDU393346:RDU393347 RNQ393346:RNQ393347 RXM393346:RXM393347 SHI393346:SHI393347 SRE393346:SRE393347 TBA393346:TBA393347 TKW393346:TKW393347 TUS393346:TUS393347 UEO393346:UEO393347 UOK393346:UOK393347 UYG393346:UYG393347 VIC393346:VIC393347 VRY393346:VRY393347 WBU393346:WBU393347 WLQ393346:WLQ393347 WVM393346:WVM393347 E458882:E458883 JA458882:JA458883 SW458882:SW458883 ACS458882:ACS458883 AMO458882:AMO458883 AWK458882:AWK458883 BGG458882:BGG458883 BQC458882:BQC458883 BZY458882:BZY458883 CJU458882:CJU458883 CTQ458882:CTQ458883 DDM458882:DDM458883 DNI458882:DNI458883 DXE458882:DXE458883 EHA458882:EHA458883 EQW458882:EQW458883 FAS458882:FAS458883 FKO458882:FKO458883 FUK458882:FUK458883 GEG458882:GEG458883 GOC458882:GOC458883 GXY458882:GXY458883 HHU458882:HHU458883 HRQ458882:HRQ458883 IBM458882:IBM458883 ILI458882:ILI458883 IVE458882:IVE458883 JFA458882:JFA458883 JOW458882:JOW458883 JYS458882:JYS458883 KIO458882:KIO458883 KSK458882:KSK458883 LCG458882:LCG458883 LMC458882:LMC458883 LVY458882:LVY458883 MFU458882:MFU458883 MPQ458882:MPQ458883 MZM458882:MZM458883 NJI458882:NJI458883 NTE458882:NTE458883 ODA458882:ODA458883 OMW458882:OMW458883 OWS458882:OWS458883 PGO458882:PGO458883 PQK458882:PQK458883 QAG458882:QAG458883 QKC458882:QKC458883 QTY458882:QTY458883 RDU458882:RDU458883 RNQ458882:RNQ458883 RXM458882:RXM458883 SHI458882:SHI458883 SRE458882:SRE458883 TBA458882:TBA458883 TKW458882:TKW458883 TUS458882:TUS458883 UEO458882:UEO458883 UOK458882:UOK458883 UYG458882:UYG458883 VIC458882:VIC458883 VRY458882:VRY458883 WBU458882:WBU458883 WLQ458882:WLQ458883 WVM458882:WVM458883 E524418:E524419 JA524418:JA524419 SW524418:SW524419 ACS524418:ACS524419 AMO524418:AMO524419 AWK524418:AWK524419 BGG524418:BGG524419 BQC524418:BQC524419 BZY524418:BZY524419 CJU524418:CJU524419 CTQ524418:CTQ524419 DDM524418:DDM524419 DNI524418:DNI524419 DXE524418:DXE524419 EHA524418:EHA524419 EQW524418:EQW524419 FAS524418:FAS524419 FKO524418:FKO524419 FUK524418:FUK524419 GEG524418:GEG524419 GOC524418:GOC524419 GXY524418:GXY524419 HHU524418:HHU524419 HRQ524418:HRQ524419 IBM524418:IBM524419 ILI524418:ILI524419 IVE524418:IVE524419 JFA524418:JFA524419 JOW524418:JOW524419 JYS524418:JYS524419 KIO524418:KIO524419 KSK524418:KSK524419 LCG524418:LCG524419 LMC524418:LMC524419 LVY524418:LVY524419 MFU524418:MFU524419 MPQ524418:MPQ524419 MZM524418:MZM524419 NJI524418:NJI524419 NTE524418:NTE524419 ODA524418:ODA524419 OMW524418:OMW524419 OWS524418:OWS524419 PGO524418:PGO524419 PQK524418:PQK524419 QAG524418:QAG524419 QKC524418:QKC524419 QTY524418:QTY524419 RDU524418:RDU524419 RNQ524418:RNQ524419 RXM524418:RXM524419 SHI524418:SHI524419 SRE524418:SRE524419 TBA524418:TBA524419 TKW524418:TKW524419 TUS524418:TUS524419 UEO524418:UEO524419 UOK524418:UOK524419 UYG524418:UYG524419 VIC524418:VIC524419 VRY524418:VRY524419 WBU524418:WBU524419 WLQ524418:WLQ524419 WVM524418:WVM524419 E589954:E589955 JA589954:JA589955 SW589954:SW589955 ACS589954:ACS589955 AMO589954:AMO589955 AWK589954:AWK589955 BGG589954:BGG589955 BQC589954:BQC589955 BZY589954:BZY589955 CJU589954:CJU589955 CTQ589954:CTQ589955 DDM589954:DDM589955 DNI589954:DNI589955 DXE589954:DXE589955 EHA589954:EHA589955 EQW589954:EQW589955 FAS589954:FAS589955 FKO589954:FKO589955 FUK589954:FUK589955 GEG589954:GEG589955 GOC589954:GOC589955 GXY589954:GXY589955 HHU589954:HHU589955 HRQ589954:HRQ589955 IBM589954:IBM589955 ILI589954:ILI589955 IVE589954:IVE589955 JFA589954:JFA589955 JOW589954:JOW589955 JYS589954:JYS589955 KIO589954:KIO589955 KSK589954:KSK589955 LCG589954:LCG589955 LMC589954:LMC589955 LVY589954:LVY589955 MFU589954:MFU589955 MPQ589954:MPQ589955 MZM589954:MZM589955 NJI589954:NJI589955 NTE589954:NTE589955 ODA589954:ODA589955 OMW589954:OMW589955 OWS589954:OWS589955 PGO589954:PGO589955 PQK589954:PQK589955 QAG589954:QAG589955 QKC589954:QKC589955 QTY589954:QTY589955 RDU589954:RDU589955 RNQ589954:RNQ589955 RXM589954:RXM589955 SHI589954:SHI589955 SRE589954:SRE589955 TBA589954:TBA589955 TKW589954:TKW589955 TUS589954:TUS589955 UEO589954:UEO589955 UOK589954:UOK589955 UYG589954:UYG589955 VIC589954:VIC589955 VRY589954:VRY589955 WBU589954:WBU589955 WLQ589954:WLQ589955 WVM589954:WVM589955 E655490:E655491 JA655490:JA655491 SW655490:SW655491 ACS655490:ACS655491 AMO655490:AMO655491 AWK655490:AWK655491 BGG655490:BGG655491 BQC655490:BQC655491 BZY655490:BZY655491 CJU655490:CJU655491 CTQ655490:CTQ655491 DDM655490:DDM655491 DNI655490:DNI655491 DXE655490:DXE655491 EHA655490:EHA655491 EQW655490:EQW655491 FAS655490:FAS655491 FKO655490:FKO655491 FUK655490:FUK655491 GEG655490:GEG655491 GOC655490:GOC655491 GXY655490:GXY655491 HHU655490:HHU655491 HRQ655490:HRQ655491 IBM655490:IBM655491 ILI655490:ILI655491 IVE655490:IVE655491 JFA655490:JFA655491 JOW655490:JOW655491 JYS655490:JYS655491 KIO655490:KIO655491 KSK655490:KSK655491 LCG655490:LCG655491 LMC655490:LMC655491 LVY655490:LVY655491 MFU655490:MFU655491 MPQ655490:MPQ655491 MZM655490:MZM655491 NJI655490:NJI655491 NTE655490:NTE655491 ODA655490:ODA655491 OMW655490:OMW655491 OWS655490:OWS655491 PGO655490:PGO655491 PQK655490:PQK655491 QAG655490:QAG655491 QKC655490:QKC655491 QTY655490:QTY655491 RDU655490:RDU655491 RNQ655490:RNQ655491 RXM655490:RXM655491 SHI655490:SHI655491 SRE655490:SRE655491 TBA655490:TBA655491 TKW655490:TKW655491 TUS655490:TUS655491 UEO655490:UEO655491 UOK655490:UOK655491 UYG655490:UYG655491 VIC655490:VIC655491 VRY655490:VRY655491 WBU655490:WBU655491 WLQ655490:WLQ655491 WVM655490:WVM655491 E721026:E721027 JA721026:JA721027 SW721026:SW721027 ACS721026:ACS721027 AMO721026:AMO721027 AWK721026:AWK721027 BGG721026:BGG721027 BQC721026:BQC721027 BZY721026:BZY721027 CJU721026:CJU721027 CTQ721026:CTQ721027 DDM721026:DDM721027 DNI721026:DNI721027 DXE721026:DXE721027 EHA721026:EHA721027 EQW721026:EQW721027 FAS721026:FAS721027 FKO721026:FKO721027 FUK721026:FUK721027 GEG721026:GEG721027 GOC721026:GOC721027 GXY721026:GXY721027 HHU721026:HHU721027 HRQ721026:HRQ721027 IBM721026:IBM721027 ILI721026:ILI721027 IVE721026:IVE721027 JFA721026:JFA721027 JOW721026:JOW721027 JYS721026:JYS721027 KIO721026:KIO721027 KSK721026:KSK721027 LCG721026:LCG721027 LMC721026:LMC721027 LVY721026:LVY721027 MFU721026:MFU721027 MPQ721026:MPQ721027 MZM721026:MZM721027 NJI721026:NJI721027 NTE721026:NTE721027 ODA721026:ODA721027 OMW721026:OMW721027 OWS721026:OWS721027 PGO721026:PGO721027 PQK721026:PQK721027 QAG721026:QAG721027 QKC721026:QKC721027 QTY721026:QTY721027 RDU721026:RDU721027 RNQ721026:RNQ721027 RXM721026:RXM721027 SHI721026:SHI721027 SRE721026:SRE721027 TBA721026:TBA721027 TKW721026:TKW721027 TUS721026:TUS721027 UEO721026:UEO721027 UOK721026:UOK721027 UYG721026:UYG721027 VIC721026:VIC721027 VRY721026:VRY721027 WBU721026:WBU721027 WLQ721026:WLQ721027 WVM721026:WVM721027 E786562:E786563 JA786562:JA786563 SW786562:SW786563 ACS786562:ACS786563 AMO786562:AMO786563 AWK786562:AWK786563 BGG786562:BGG786563 BQC786562:BQC786563 BZY786562:BZY786563 CJU786562:CJU786563 CTQ786562:CTQ786563 DDM786562:DDM786563 DNI786562:DNI786563 DXE786562:DXE786563 EHA786562:EHA786563 EQW786562:EQW786563 FAS786562:FAS786563 FKO786562:FKO786563 FUK786562:FUK786563 GEG786562:GEG786563 GOC786562:GOC786563 GXY786562:GXY786563 HHU786562:HHU786563 HRQ786562:HRQ786563 IBM786562:IBM786563 ILI786562:ILI786563 IVE786562:IVE786563 JFA786562:JFA786563 JOW786562:JOW786563 JYS786562:JYS786563 KIO786562:KIO786563 KSK786562:KSK786563 LCG786562:LCG786563 LMC786562:LMC786563 LVY786562:LVY786563 MFU786562:MFU786563 MPQ786562:MPQ786563 MZM786562:MZM786563 NJI786562:NJI786563 NTE786562:NTE786563 ODA786562:ODA786563 OMW786562:OMW786563 OWS786562:OWS786563 PGO786562:PGO786563 PQK786562:PQK786563 QAG786562:QAG786563 QKC786562:QKC786563 QTY786562:QTY786563 RDU786562:RDU786563 RNQ786562:RNQ786563 RXM786562:RXM786563 SHI786562:SHI786563 SRE786562:SRE786563 TBA786562:TBA786563 TKW786562:TKW786563 TUS786562:TUS786563 UEO786562:UEO786563 UOK786562:UOK786563 UYG786562:UYG786563 VIC786562:VIC786563 VRY786562:VRY786563 WBU786562:WBU786563 WLQ786562:WLQ786563 WVM786562:WVM786563 E852098:E852099 JA852098:JA852099 SW852098:SW852099 ACS852098:ACS852099 AMO852098:AMO852099 AWK852098:AWK852099 BGG852098:BGG852099 BQC852098:BQC852099 BZY852098:BZY852099 CJU852098:CJU852099 CTQ852098:CTQ852099 DDM852098:DDM852099 DNI852098:DNI852099 DXE852098:DXE852099 EHA852098:EHA852099 EQW852098:EQW852099 FAS852098:FAS852099 FKO852098:FKO852099 FUK852098:FUK852099 GEG852098:GEG852099 GOC852098:GOC852099 GXY852098:GXY852099 HHU852098:HHU852099 HRQ852098:HRQ852099 IBM852098:IBM852099 ILI852098:ILI852099 IVE852098:IVE852099 JFA852098:JFA852099 JOW852098:JOW852099 JYS852098:JYS852099 KIO852098:KIO852099 KSK852098:KSK852099 LCG852098:LCG852099 LMC852098:LMC852099 LVY852098:LVY852099 MFU852098:MFU852099 MPQ852098:MPQ852099 MZM852098:MZM852099 NJI852098:NJI852099 NTE852098:NTE852099 ODA852098:ODA852099 OMW852098:OMW852099 OWS852098:OWS852099 PGO852098:PGO852099 PQK852098:PQK852099 QAG852098:QAG852099 QKC852098:QKC852099 QTY852098:QTY852099 RDU852098:RDU852099 RNQ852098:RNQ852099 RXM852098:RXM852099 SHI852098:SHI852099 SRE852098:SRE852099 TBA852098:TBA852099 TKW852098:TKW852099 TUS852098:TUS852099 UEO852098:UEO852099 UOK852098:UOK852099 UYG852098:UYG852099 VIC852098:VIC852099 VRY852098:VRY852099 WBU852098:WBU852099 WLQ852098:WLQ852099 WVM852098:WVM852099 E917634:E917635 JA917634:JA917635 SW917634:SW917635 ACS917634:ACS917635 AMO917634:AMO917635 AWK917634:AWK917635 BGG917634:BGG917635 BQC917634:BQC917635 BZY917634:BZY917635 CJU917634:CJU917635 CTQ917634:CTQ917635 DDM917634:DDM917635 DNI917634:DNI917635 DXE917634:DXE917635 EHA917634:EHA917635 EQW917634:EQW917635 FAS917634:FAS917635 FKO917634:FKO917635 FUK917634:FUK917635 GEG917634:GEG917635 GOC917634:GOC917635 GXY917634:GXY917635 HHU917634:HHU917635 HRQ917634:HRQ917635 IBM917634:IBM917635 ILI917634:ILI917635 IVE917634:IVE917635 JFA917634:JFA917635 JOW917634:JOW917635 JYS917634:JYS917635 KIO917634:KIO917635 KSK917634:KSK917635 LCG917634:LCG917635 LMC917634:LMC917635 LVY917634:LVY917635 MFU917634:MFU917635 MPQ917634:MPQ917635 MZM917634:MZM917635 NJI917634:NJI917635 NTE917634:NTE917635 ODA917634:ODA917635 OMW917634:OMW917635 OWS917634:OWS917635 PGO917634:PGO917635 PQK917634:PQK917635 QAG917634:QAG917635 QKC917634:QKC917635 QTY917634:QTY917635 RDU917634:RDU917635 RNQ917634:RNQ917635 RXM917634:RXM917635 SHI917634:SHI917635 SRE917634:SRE917635 TBA917634:TBA917635 TKW917634:TKW917635 TUS917634:TUS917635 UEO917634:UEO917635 UOK917634:UOK917635 UYG917634:UYG917635 VIC917634:VIC917635 VRY917634:VRY917635 WBU917634:WBU917635 WLQ917634:WLQ917635 WVM917634:WVM917635 E983170:E983171 JA983170:JA983171 SW983170:SW983171 ACS983170:ACS983171 AMO983170:AMO983171 AWK983170:AWK983171 BGG983170:BGG983171 BQC983170:BQC983171 BZY983170:BZY983171 CJU983170:CJU983171 CTQ983170:CTQ983171 DDM983170:DDM983171 DNI983170:DNI983171 DXE983170:DXE983171 EHA983170:EHA983171 EQW983170:EQW983171 FAS983170:FAS983171 FKO983170:FKO983171 FUK983170:FUK983171 GEG983170:GEG983171 GOC983170:GOC983171 GXY983170:GXY983171 HHU983170:HHU983171 HRQ983170:HRQ983171 IBM983170:IBM983171 ILI983170:ILI983171 IVE983170:IVE983171 JFA983170:JFA983171 JOW983170:JOW983171 JYS983170:JYS983171 KIO983170:KIO983171 KSK983170:KSK983171 LCG983170:LCG983171 LMC983170:LMC983171 LVY983170:LVY983171 MFU983170:MFU983171 MPQ983170:MPQ983171 MZM983170:MZM983171 NJI983170:NJI983171 NTE983170:NTE983171 ODA983170:ODA983171 OMW983170:OMW983171 OWS983170:OWS983171 PGO983170:PGO983171 PQK983170:PQK983171 QAG983170:QAG983171 QKC983170:QKC983171 QTY983170:QTY983171 RDU983170:RDU983171 RNQ983170:RNQ983171 RXM983170:RXM983171 SHI983170:SHI983171 SRE983170:SRE983171 TBA983170:TBA983171 TKW983170:TKW983171 TUS983170:TUS983171 UEO983170:UEO983171 UOK983170:UOK983171 UYG983170:UYG983171 VIC983170:VIC983171 VRY983170:VRY983171 WBU983170:WBU983171 WLQ983170:WLQ983171 WVM983170:WVM983171 C131:D131 IY131:IZ131 SU131:SV131 ACQ131:ACR131 AMM131:AMN131 AWI131:AWJ131 BGE131:BGF131 BQA131:BQB131 BZW131:BZX131 CJS131:CJT131 CTO131:CTP131 DDK131:DDL131 DNG131:DNH131 DXC131:DXD131 EGY131:EGZ131 EQU131:EQV131 FAQ131:FAR131 FKM131:FKN131 FUI131:FUJ131 GEE131:GEF131 GOA131:GOB131 GXW131:GXX131 HHS131:HHT131 HRO131:HRP131 IBK131:IBL131 ILG131:ILH131 IVC131:IVD131 JEY131:JEZ131 JOU131:JOV131 JYQ131:JYR131 KIM131:KIN131 KSI131:KSJ131 LCE131:LCF131 LMA131:LMB131 LVW131:LVX131 MFS131:MFT131 MPO131:MPP131 MZK131:MZL131 NJG131:NJH131 NTC131:NTD131 OCY131:OCZ131 OMU131:OMV131 OWQ131:OWR131 PGM131:PGN131 PQI131:PQJ131 QAE131:QAF131 QKA131:QKB131 QTW131:QTX131 RDS131:RDT131 RNO131:RNP131 RXK131:RXL131 SHG131:SHH131 SRC131:SRD131 TAY131:TAZ131 TKU131:TKV131 TUQ131:TUR131 UEM131:UEN131 UOI131:UOJ131 UYE131:UYF131 VIA131:VIB131 VRW131:VRX131 WBS131:WBT131 WLO131:WLP131 WVK131:WVL131 C65667:D65667 IY65667:IZ65667 SU65667:SV65667 ACQ65667:ACR65667 AMM65667:AMN65667 AWI65667:AWJ65667 BGE65667:BGF65667 BQA65667:BQB65667 BZW65667:BZX65667 CJS65667:CJT65667 CTO65667:CTP65667 DDK65667:DDL65667 DNG65667:DNH65667 DXC65667:DXD65667 EGY65667:EGZ65667 EQU65667:EQV65667 FAQ65667:FAR65667 FKM65667:FKN65667 FUI65667:FUJ65667 GEE65667:GEF65667 GOA65667:GOB65667 GXW65667:GXX65667 HHS65667:HHT65667 HRO65667:HRP65667 IBK65667:IBL65667 ILG65667:ILH65667 IVC65667:IVD65667 JEY65667:JEZ65667 JOU65667:JOV65667 JYQ65667:JYR65667 KIM65667:KIN65667 KSI65667:KSJ65667 LCE65667:LCF65667 LMA65667:LMB65667 LVW65667:LVX65667 MFS65667:MFT65667 MPO65667:MPP65667 MZK65667:MZL65667 NJG65667:NJH65667 NTC65667:NTD65667 OCY65667:OCZ65667 OMU65667:OMV65667 OWQ65667:OWR65667 PGM65667:PGN65667 PQI65667:PQJ65667 QAE65667:QAF65667 QKA65667:QKB65667 QTW65667:QTX65667 RDS65667:RDT65667 RNO65667:RNP65667 RXK65667:RXL65667 SHG65667:SHH65667 SRC65667:SRD65667 TAY65667:TAZ65667 TKU65667:TKV65667 TUQ65667:TUR65667 UEM65667:UEN65667 UOI65667:UOJ65667 UYE65667:UYF65667 VIA65667:VIB65667 VRW65667:VRX65667 WBS65667:WBT65667 WLO65667:WLP65667 WVK65667:WVL65667 C131203:D131203 IY131203:IZ131203 SU131203:SV131203 ACQ131203:ACR131203 AMM131203:AMN131203 AWI131203:AWJ131203 BGE131203:BGF131203 BQA131203:BQB131203 BZW131203:BZX131203 CJS131203:CJT131203 CTO131203:CTP131203 DDK131203:DDL131203 DNG131203:DNH131203 DXC131203:DXD131203 EGY131203:EGZ131203 EQU131203:EQV131203 FAQ131203:FAR131203 FKM131203:FKN131203 FUI131203:FUJ131203 GEE131203:GEF131203 GOA131203:GOB131203 GXW131203:GXX131203 HHS131203:HHT131203 HRO131203:HRP131203 IBK131203:IBL131203 ILG131203:ILH131203 IVC131203:IVD131203 JEY131203:JEZ131203 JOU131203:JOV131203 JYQ131203:JYR131203 KIM131203:KIN131203 KSI131203:KSJ131203 LCE131203:LCF131203 LMA131203:LMB131203 LVW131203:LVX131203 MFS131203:MFT131203 MPO131203:MPP131203 MZK131203:MZL131203 NJG131203:NJH131203 NTC131203:NTD131203 OCY131203:OCZ131203 OMU131203:OMV131203 OWQ131203:OWR131203 PGM131203:PGN131203 PQI131203:PQJ131203 QAE131203:QAF131203 QKA131203:QKB131203 QTW131203:QTX131203 RDS131203:RDT131203 RNO131203:RNP131203 RXK131203:RXL131203 SHG131203:SHH131203 SRC131203:SRD131203 TAY131203:TAZ131203 TKU131203:TKV131203 TUQ131203:TUR131203 UEM131203:UEN131203 UOI131203:UOJ131203 UYE131203:UYF131203 VIA131203:VIB131203 VRW131203:VRX131203 WBS131203:WBT131203 WLO131203:WLP131203 WVK131203:WVL131203 C196739:D196739 IY196739:IZ196739 SU196739:SV196739 ACQ196739:ACR196739 AMM196739:AMN196739 AWI196739:AWJ196739 BGE196739:BGF196739 BQA196739:BQB196739 BZW196739:BZX196739 CJS196739:CJT196739 CTO196739:CTP196739 DDK196739:DDL196739 DNG196739:DNH196739 DXC196739:DXD196739 EGY196739:EGZ196739 EQU196739:EQV196739 FAQ196739:FAR196739 FKM196739:FKN196739 FUI196739:FUJ196739 GEE196739:GEF196739 GOA196739:GOB196739 GXW196739:GXX196739 HHS196739:HHT196739 HRO196739:HRP196739 IBK196739:IBL196739 ILG196739:ILH196739 IVC196739:IVD196739 JEY196739:JEZ196739 JOU196739:JOV196739 JYQ196739:JYR196739 KIM196739:KIN196739 KSI196739:KSJ196739 LCE196739:LCF196739 LMA196739:LMB196739 LVW196739:LVX196739 MFS196739:MFT196739 MPO196739:MPP196739 MZK196739:MZL196739 NJG196739:NJH196739 NTC196739:NTD196739 OCY196739:OCZ196739 OMU196739:OMV196739 OWQ196739:OWR196739 PGM196739:PGN196739 PQI196739:PQJ196739 QAE196739:QAF196739 QKA196739:QKB196739 QTW196739:QTX196739 RDS196739:RDT196739 RNO196739:RNP196739 RXK196739:RXL196739 SHG196739:SHH196739 SRC196739:SRD196739 TAY196739:TAZ196739 TKU196739:TKV196739 TUQ196739:TUR196739 UEM196739:UEN196739 UOI196739:UOJ196739 UYE196739:UYF196739 VIA196739:VIB196739 VRW196739:VRX196739 WBS196739:WBT196739 WLO196739:WLP196739 WVK196739:WVL196739 C262275:D262275 IY262275:IZ262275 SU262275:SV262275 ACQ262275:ACR262275 AMM262275:AMN262275 AWI262275:AWJ262275 BGE262275:BGF262275 BQA262275:BQB262275 BZW262275:BZX262275 CJS262275:CJT262275 CTO262275:CTP262275 DDK262275:DDL262275 DNG262275:DNH262275 DXC262275:DXD262275 EGY262275:EGZ262275 EQU262275:EQV262275 FAQ262275:FAR262275 FKM262275:FKN262275 FUI262275:FUJ262275 GEE262275:GEF262275 GOA262275:GOB262275 GXW262275:GXX262275 HHS262275:HHT262275 HRO262275:HRP262275 IBK262275:IBL262275 ILG262275:ILH262275 IVC262275:IVD262275 JEY262275:JEZ262275 JOU262275:JOV262275 JYQ262275:JYR262275 KIM262275:KIN262275 KSI262275:KSJ262275 LCE262275:LCF262275 LMA262275:LMB262275 LVW262275:LVX262275 MFS262275:MFT262275 MPO262275:MPP262275 MZK262275:MZL262275 NJG262275:NJH262275 NTC262275:NTD262275 OCY262275:OCZ262275 OMU262275:OMV262275 OWQ262275:OWR262275 PGM262275:PGN262275 PQI262275:PQJ262275 QAE262275:QAF262275 QKA262275:QKB262275 QTW262275:QTX262275 RDS262275:RDT262275 RNO262275:RNP262275 RXK262275:RXL262275 SHG262275:SHH262275 SRC262275:SRD262275 TAY262275:TAZ262275 TKU262275:TKV262275 TUQ262275:TUR262275 UEM262275:UEN262275 UOI262275:UOJ262275 UYE262275:UYF262275 VIA262275:VIB262275 VRW262275:VRX262275 WBS262275:WBT262275 WLO262275:WLP262275 WVK262275:WVL262275 C327811:D327811 IY327811:IZ327811 SU327811:SV327811 ACQ327811:ACR327811 AMM327811:AMN327811 AWI327811:AWJ327811 BGE327811:BGF327811 BQA327811:BQB327811 BZW327811:BZX327811 CJS327811:CJT327811 CTO327811:CTP327811 DDK327811:DDL327811 DNG327811:DNH327811 DXC327811:DXD327811 EGY327811:EGZ327811 EQU327811:EQV327811 FAQ327811:FAR327811 FKM327811:FKN327811 FUI327811:FUJ327811 GEE327811:GEF327811 GOA327811:GOB327811 GXW327811:GXX327811 HHS327811:HHT327811 HRO327811:HRP327811 IBK327811:IBL327811 ILG327811:ILH327811 IVC327811:IVD327811 JEY327811:JEZ327811 JOU327811:JOV327811 JYQ327811:JYR327811 KIM327811:KIN327811 KSI327811:KSJ327811 LCE327811:LCF327811 LMA327811:LMB327811 LVW327811:LVX327811 MFS327811:MFT327811 MPO327811:MPP327811 MZK327811:MZL327811 NJG327811:NJH327811 NTC327811:NTD327811 OCY327811:OCZ327811 OMU327811:OMV327811 OWQ327811:OWR327811 PGM327811:PGN327811 PQI327811:PQJ327811 QAE327811:QAF327811 QKA327811:QKB327811 QTW327811:QTX327811 RDS327811:RDT327811 RNO327811:RNP327811 RXK327811:RXL327811 SHG327811:SHH327811 SRC327811:SRD327811 TAY327811:TAZ327811 TKU327811:TKV327811 TUQ327811:TUR327811 UEM327811:UEN327811 UOI327811:UOJ327811 UYE327811:UYF327811 VIA327811:VIB327811 VRW327811:VRX327811 WBS327811:WBT327811 WLO327811:WLP327811 WVK327811:WVL327811 C393347:D393347 IY393347:IZ393347 SU393347:SV393347 ACQ393347:ACR393347 AMM393347:AMN393347 AWI393347:AWJ393347 BGE393347:BGF393347 BQA393347:BQB393347 BZW393347:BZX393347 CJS393347:CJT393347 CTO393347:CTP393347 DDK393347:DDL393347 DNG393347:DNH393347 DXC393347:DXD393347 EGY393347:EGZ393347 EQU393347:EQV393347 FAQ393347:FAR393347 FKM393347:FKN393347 FUI393347:FUJ393347 GEE393347:GEF393347 GOA393347:GOB393347 GXW393347:GXX393347 HHS393347:HHT393347 HRO393347:HRP393347 IBK393347:IBL393347 ILG393347:ILH393347 IVC393347:IVD393347 JEY393347:JEZ393347 JOU393347:JOV393347 JYQ393347:JYR393347 KIM393347:KIN393347 KSI393347:KSJ393347 LCE393347:LCF393347 LMA393347:LMB393347 LVW393347:LVX393347 MFS393347:MFT393347 MPO393347:MPP393347 MZK393347:MZL393347 NJG393347:NJH393347 NTC393347:NTD393347 OCY393347:OCZ393347 OMU393347:OMV393347 OWQ393347:OWR393347 PGM393347:PGN393347 PQI393347:PQJ393347 QAE393347:QAF393347 QKA393347:QKB393347 QTW393347:QTX393347 RDS393347:RDT393347 RNO393347:RNP393347 RXK393347:RXL393347 SHG393347:SHH393347 SRC393347:SRD393347 TAY393347:TAZ393347 TKU393347:TKV393347 TUQ393347:TUR393347 UEM393347:UEN393347 UOI393347:UOJ393347 UYE393347:UYF393347 VIA393347:VIB393347 VRW393347:VRX393347 WBS393347:WBT393347 WLO393347:WLP393347 WVK393347:WVL393347 C458883:D458883 IY458883:IZ458883 SU458883:SV458883 ACQ458883:ACR458883 AMM458883:AMN458883 AWI458883:AWJ458883 BGE458883:BGF458883 BQA458883:BQB458883 BZW458883:BZX458883 CJS458883:CJT458883 CTO458883:CTP458883 DDK458883:DDL458883 DNG458883:DNH458883 DXC458883:DXD458883 EGY458883:EGZ458883 EQU458883:EQV458883 FAQ458883:FAR458883 FKM458883:FKN458883 FUI458883:FUJ458883 GEE458883:GEF458883 GOA458883:GOB458883 GXW458883:GXX458883 HHS458883:HHT458883 HRO458883:HRP458883 IBK458883:IBL458883 ILG458883:ILH458883 IVC458883:IVD458883 JEY458883:JEZ458883 JOU458883:JOV458883 JYQ458883:JYR458883 KIM458883:KIN458883 KSI458883:KSJ458883 LCE458883:LCF458883 LMA458883:LMB458883 LVW458883:LVX458883 MFS458883:MFT458883 MPO458883:MPP458883 MZK458883:MZL458883 NJG458883:NJH458883 NTC458883:NTD458883 OCY458883:OCZ458883 OMU458883:OMV458883 OWQ458883:OWR458883 PGM458883:PGN458883 PQI458883:PQJ458883 QAE458883:QAF458883 QKA458883:QKB458883 QTW458883:QTX458883 RDS458883:RDT458883 RNO458883:RNP458883 RXK458883:RXL458883 SHG458883:SHH458883 SRC458883:SRD458883 TAY458883:TAZ458883 TKU458883:TKV458883 TUQ458883:TUR458883 UEM458883:UEN458883 UOI458883:UOJ458883 UYE458883:UYF458883 VIA458883:VIB458883 VRW458883:VRX458883 WBS458883:WBT458883 WLO458883:WLP458883 WVK458883:WVL458883 C524419:D524419 IY524419:IZ524419 SU524419:SV524419 ACQ524419:ACR524419 AMM524419:AMN524419 AWI524419:AWJ524419 BGE524419:BGF524419 BQA524419:BQB524419 BZW524419:BZX524419 CJS524419:CJT524419 CTO524419:CTP524419 DDK524419:DDL524419 DNG524419:DNH524419 DXC524419:DXD524419 EGY524419:EGZ524419 EQU524419:EQV524419 FAQ524419:FAR524419 FKM524419:FKN524419 FUI524419:FUJ524419 GEE524419:GEF524419 GOA524419:GOB524419 GXW524419:GXX524419 HHS524419:HHT524419 HRO524419:HRP524419 IBK524419:IBL524419 ILG524419:ILH524419 IVC524419:IVD524419 JEY524419:JEZ524419 JOU524419:JOV524419 JYQ524419:JYR524419 KIM524419:KIN524419 KSI524419:KSJ524419 LCE524419:LCF524419 LMA524419:LMB524419 LVW524419:LVX524419 MFS524419:MFT524419 MPO524419:MPP524419 MZK524419:MZL524419 NJG524419:NJH524419 NTC524419:NTD524419 OCY524419:OCZ524419 OMU524419:OMV524419 OWQ524419:OWR524419 PGM524419:PGN524419 PQI524419:PQJ524419 QAE524419:QAF524419 QKA524419:QKB524419 QTW524419:QTX524419 RDS524419:RDT524419 RNO524419:RNP524419 RXK524419:RXL524419 SHG524419:SHH524419 SRC524419:SRD524419 TAY524419:TAZ524419 TKU524419:TKV524419 TUQ524419:TUR524419 UEM524419:UEN524419 UOI524419:UOJ524419 UYE524419:UYF524419 VIA524419:VIB524419 VRW524419:VRX524419 WBS524419:WBT524419 WLO524419:WLP524419 WVK524419:WVL524419 C589955:D589955 IY589955:IZ589955 SU589955:SV589955 ACQ589955:ACR589955 AMM589955:AMN589955 AWI589955:AWJ589955 BGE589955:BGF589955 BQA589955:BQB589955 BZW589955:BZX589955 CJS589955:CJT589955 CTO589955:CTP589955 DDK589955:DDL589955 DNG589955:DNH589955 DXC589955:DXD589955 EGY589955:EGZ589955 EQU589955:EQV589955 FAQ589955:FAR589955 FKM589955:FKN589955 FUI589955:FUJ589955 GEE589955:GEF589955 GOA589955:GOB589955 GXW589955:GXX589955 HHS589955:HHT589955 HRO589955:HRP589955 IBK589955:IBL589955 ILG589955:ILH589955 IVC589955:IVD589955 JEY589955:JEZ589955 JOU589955:JOV589955 JYQ589955:JYR589955 KIM589955:KIN589955 KSI589955:KSJ589955 LCE589955:LCF589955 LMA589955:LMB589955 LVW589955:LVX589955 MFS589955:MFT589955 MPO589955:MPP589955 MZK589955:MZL589955 NJG589955:NJH589955 NTC589955:NTD589955 OCY589955:OCZ589955 OMU589955:OMV589955 OWQ589955:OWR589955 PGM589955:PGN589955 PQI589955:PQJ589955 QAE589955:QAF589955 QKA589955:QKB589955 QTW589955:QTX589955 RDS589955:RDT589955 RNO589955:RNP589955 RXK589955:RXL589955 SHG589955:SHH589955 SRC589955:SRD589955 TAY589955:TAZ589955 TKU589955:TKV589955 TUQ589955:TUR589955 UEM589955:UEN589955 UOI589955:UOJ589955 UYE589955:UYF589955 VIA589955:VIB589955 VRW589955:VRX589955 WBS589955:WBT589955 WLO589955:WLP589955 WVK589955:WVL589955 C655491:D655491 IY655491:IZ655491 SU655491:SV655491 ACQ655491:ACR655491 AMM655491:AMN655491 AWI655491:AWJ655491 BGE655491:BGF655491 BQA655491:BQB655491 BZW655491:BZX655491 CJS655491:CJT655491 CTO655491:CTP655491 DDK655491:DDL655491 DNG655491:DNH655491 DXC655491:DXD655491 EGY655491:EGZ655491 EQU655491:EQV655491 FAQ655491:FAR655491 FKM655491:FKN655491 FUI655491:FUJ655491 GEE655491:GEF655491 GOA655491:GOB655491 GXW655491:GXX655491 HHS655491:HHT655491 HRO655491:HRP655491 IBK655491:IBL655491 ILG655491:ILH655491 IVC655491:IVD655491 JEY655491:JEZ655491 JOU655491:JOV655491 JYQ655491:JYR655491 KIM655491:KIN655491 KSI655491:KSJ655491 LCE655491:LCF655491 LMA655491:LMB655491 LVW655491:LVX655491 MFS655491:MFT655491 MPO655491:MPP655491 MZK655491:MZL655491 NJG655491:NJH655491 NTC655491:NTD655491 OCY655491:OCZ655491 OMU655491:OMV655491 OWQ655491:OWR655491 PGM655491:PGN655491 PQI655491:PQJ655491 QAE655491:QAF655491 QKA655491:QKB655491 QTW655491:QTX655491 RDS655491:RDT655491 RNO655491:RNP655491 RXK655491:RXL655491 SHG655491:SHH655491 SRC655491:SRD655491 TAY655491:TAZ655491 TKU655491:TKV655491 TUQ655491:TUR655491 UEM655491:UEN655491 UOI655491:UOJ655491 UYE655491:UYF655491 VIA655491:VIB655491 VRW655491:VRX655491 WBS655491:WBT655491 WLO655491:WLP655491 WVK655491:WVL655491 C721027:D721027 IY721027:IZ721027 SU721027:SV721027 ACQ721027:ACR721027 AMM721027:AMN721027 AWI721027:AWJ721027 BGE721027:BGF721027 BQA721027:BQB721027 BZW721027:BZX721027 CJS721027:CJT721027 CTO721027:CTP721027 DDK721027:DDL721027 DNG721027:DNH721027 DXC721027:DXD721027 EGY721027:EGZ721027 EQU721027:EQV721027 FAQ721027:FAR721027 FKM721027:FKN721027 FUI721027:FUJ721027 GEE721027:GEF721027 GOA721027:GOB721027 GXW721027:GXX721027 HHS721027:HHT721027 HRO721027:HRP721027 IBK721027:IBL721027 ILG721027:ILH721027 IVC721027:IVD721027 JEY721027:JEZ721027 JOU721027:JOV721027 JYQ721027:JYR721027 KIM721027:KIN721027 KSI721027:KSJ721027 LCE721027:LCF721027 LMA721027:LMB721027 LVW721027:LVX721027 MFS721027:MFT721027 MPO721027:MPP721027 MZK721027:MZL721027 NJG721027:NJH721027 NTC721027:NTD721027 OCY721027:OCZ721027 OMU721027:OMV721027 OWQ721027:OWR721027 PGM721027:PGN721027 PQI721027:PQJ721027 QAE721027:QAF721027 QKA721027:QKB721027 QTW721027:QTX721027 RDS721027:RDT721027 RNO721027:RNP721027 RXK721027:RXL721027 SHG721027:SHH721027 SRC721027:SRD721027 TAY721027:TAZ721027 TKU721027:TKV721027 TUQ721027:TUR721027 UEM721027:UEN721027 UOI721027:UOJ721027 UYE721027:UYF721027 VIA721027:VIB721027 VRW721027:VRX721027 WBS721027:WBT721027 WLO721027:WLP721027 WVK721027:WVL721027 C786563:D786563 IY786563:IZ786563 SU786563:SV786563 ACQ786563:ACR786563 AMM786563:AMN786563 AWI786563:AWJ786563 BGE786563:BGF786563 BQA786563:BQB786563 BZW786563:BZX786563 CJS786563:CJT786563 CTO786563:CTP786563 DDK786563:DDL786563 DNG786563:DNH786563 DXC786563:DXD786563 EGY786563:EGZ786563 EQU786563:EQV786563 FAQ786563:FAR786563 FKM786563:FKN786563 FUI786563:FUJ786563 GEE786563:GEF786563 GOA786563:GOB786563 GXW786563:GXX786563 HHS786563:HHT786563 HRO786563:HRP786563 IBK786563:IBL786563 ILG786563:ILH786563 IVC786563:IVD786563 JEY786563:JEZ786563 JOU786563:JOV786563 JYQ786563:JYR786563 KIM786563:KIN786563 KSI786563:KSJ786563 LCE786563:LCF786563 LMA786563:LMB786563 LVW786563:LVX786563 MFS786563:MFT786563 MPO786563:MPP786563 MZK786563:MZL786563 NJG786563:NJH786563 NTC786563:NTD786563 OCY786563:OCZ786563 OMU786563:OMV786563 OWQ786563:OWR786563 PGM786563:PGN786563 PQI786563:PQJ786563 QAE786563:QAF786563 QKA786563:QKB786563 QTW786563:QTX786563 RDS786563:RDT786563 RNO786563:RNP786563 RXK786563:RXL786563 SHG786563:SHH786563 SRC786563:SRD786563 TAY786563:TAZ786563 TKU786563:TKV786563 TUQ786563:TUR786563 UEM786563:UEN786563 UOI786563:UOJ786563 UYE786563:UYF786563 VIA786563:VIB786563 VRW786563:VRX786563 WBS786563:WBT786563 WLO786563:WLP786563 WVK786563:WVL786563 C852099:D852099 IY852099:IZ852099 SU852099:SV852099 ACQ852099:ACR852099 AMM852099:AMN852099 AWI852099:AWJ852099 BGE852099:BGF852099 BQA852099:BQB852099 BZW852099:BZX852099 CJS852099:CJT852099 CTO852099:CTP852099 DDK852099:DDL852099 DNG852099:DNH852099 DXC852099:DXD852099 EGY852099:EGZ852099 EQU852099:EQV852099 FAQ852099:FAR852099 FKM852099:FKN852099 FUI852099:FUJ852099 GEE852099:GEF852099 GOA852099:GOB852099 GXW852099:GXX852099 HHS852099:HHT852099 HRO852099:HRP852099 IBK852099:IBL852099 ILG852099:ILH852099 IVC852099:IVD852099 JEY852099:JEZ852099 JOU852099:JOV852099 JYQ852099:JYR852099 KIM852099:KIN852099 KSI852099:KSJ852099 LCE852099:LCF852099 LMA852099:LMB852099 LVW852099:LVX852099 MFS852099:MFT852099 MPO852099:MPP852099 MZK852099:MZL852099 NJG852099:NJH852099 NTC852099:NTD852099 OCY852099:OCZ852099 OMU852099:OMV852099 OWQ852099:OWR852099 PGM852099:PGN852099 PQI852099:PQJ852099 QAE852099:QAF852099 QKA852099:QKB852099 QTW852099:QTX852099 RDS852099:RDT852099 RNO852099:RNP852099 RXK852099:RXL852099 SHG852099:SHH852099 SRC852099:SRD852099 TAY852099:TAZ852099 TKU852099:TKV852099 TUQ852099:TUR852099 UEM852099:UEN852099 UOI852099:UOJ852099 UYE852099:UYF852099 VIA852099:VIB852099 VRW852099:VRX852099 WBS852099:WBT852099 WLO852099:WLP852099 WVK852099:WVL852099 C917635:D917635 IY917635:IZ917635 SU917635:SV917635 ACQ917635:ACR917635 AMM917635:AMN917635 AWI917635:AWJ917635 BGE917635:BGF917635 BQA917635:BQB917635 BZW917635:BZX917635 CJS917635:CJT917635 CTO917635:CTP917635 DDK917635:DDL917635 DNG917635:DNH917635 DXC917635:DXD917635 EGY917635:EGZ917635 EQU917635:EQV917635 FAQ917635:FAR917635 FKM917635:FKN917635 FUI917635:FUJ917635 GEE917635:GEF917635 GOA917635:GOB917635 GXW917635:GXX917635 HHS917635:HHT917635 HRO917635:HRP917635 IBK917635:IBL917635 ILG917635:ILH917635 IVC917635:IVD917635 JEY917635:JEZ917635 JOU917635:JOV917635 JYQ917635:JYR917635 KIM917635:KIN917635 KSI917635:KSJ917635 LCE917635:LCF917635 LMA917635:LMB917635 LVW917635:LVX917635 MFS917635:MFT917635 MPO917635:MPP917635 MZK917635:MZL917635 NJG917635:NJH917635 NTC917635:NTD917635 OCY917635:OCZ917635 OMU917635:OMV917635 OWQ917635:OWR917635 PGM917635:PGN917635 PQI917635:PQJ917635 QAE917635:QAF917635 QKA917635:QKB917635 QTW917635:QTX917635 RDS917635:RDT917635 RNO917635:RNP917635 RXK917635:RXL917635 SHG917635:SHH917635 SRC917635:SRD917635 TAY917635:TAZ917635 TKU917635:TKV917635 TUQ917635:TUR917635 UEM917635:UEN917635 UOI917635:UOJ917635 UYE917635:UYF917635 VIA917635:VIB917635 VRW917635:VRX917635 WBS917635:WBT917635 WLO917635:WLP917635 WVK917635:WVL917635 C983171:D983171 IY983171:IZ983171 SU983171:SV983171 ACQ983171:ACR983171 AMM983171:AMN983171 AWI983171:AWJ983171 BGE983171:BGF983171 BQA983171:BQB983171 BZW983171:BZX983171 CJS983171:CJT983171 CTO983171:CTP983171 DDK983171:DDL983171 DNG983171:DNH983171 DXC983171:DXD983171 EGY983171:EGZ983171 EQU983171:EQV983171 FAQ983171:FAR983171 FKM983171:FKN983171 FUI983171:FUJ983171 GEE983171:GEF983171 GOA983171:GOB983171 GXW983171:GXX983171 HHS983171:HHT983171 HRO983171:HRP983171 IBK983171:IBL983171 ILG983171:ILH983171 IVC983171:IVD983171 JEY983171:JEZ983171 JOU983171:JOV983171 JYQ983171:JYR983171 KIM983171:KIN983171 KSI983171:KSJ983171 LCE983171:LCF983171 LMA983171:LMB983171 LVW983171:LVX983171 MFS983171:MFT983171 MPO983171:MPP983171 MZK983171:MZL983171 NJG983171:NJH983171 NTC983171:NTD983171 OCY983171:OCZ983171 OMU983171:OMV983171 OWQ983171:OWR983171 PGM983171:PGN983171 PQI983171:PQJ983171 QAE983171:QAF983171 QKA983171:QKB983171 QTW983171:QTX983171 RDS983171:RDT983171 RNO983171:RNP983171 RXK983171:RXL983171 SHG983171:SHH983171 SRC983171:SRD983171 TAY983171:TAZ983171 TKU983171:TKV983171 TUQ983171:TUR983171 UEM983171:UEN983171 UOI983171:UOJ983171 UYE983171:UYF983171 VIA983171:VIB983171 VRW983171:VRX983171 WBS983171:WBT983171 WLO983171:WLP983171 WVK983171:WVL983171 E114:E115 JA114:JA115 SW114:SW115 ACS114:ACS115 AMO114:AMO115 AWK114:AWK115 BGG114:BGG115 BQC114:BQC115 BZY114:BZY115 CJU114:CJU115 CTQ114:CTQ115 DDM114:DDM115 DNI114:DNI115 DXE114:DXE115 EHA114:EHA115 EQW114:EQW115 FAS114:FAS115 FKO114:FKO115 FUK114:FUK115 GEG114:GEG115 GOC114:GOC115 GXY114:GXY115 HHU114:HHU115 HRQ114:HRQ115 IBM114:IBM115 ILI114:ILI115 IVE114:IVE115 JFA114:JFA115 JOW114:JOW115 JYS114:JYS115 KIO114:KIO115 KSK114:KSK115 LCG114:LCG115 LMC114:LMC115 LVY114:LVY115 MFU114:MFU115 MPQ114:MPQ115 MZM114:MZM115 NJI114:NJI115 NTE114:NTE115 ODA114:ODA115 OMW114:OMW115 OWS114:OWS115 PGO114:PGO115 PQK114:PQK115 QAG114:QAG115 QKC114:QKC115 QTY114:QTY115 RDU114:RDU115 RNQ114:RNQ115 RXM114:RXM115 SHI114:SHI115 SRE114:SRE115 TBA114:TBA115 TKW114:TKW115 TUS114:TUS115 UEO114:UEO115 UOK114:UOK115 UYG114:UYG115 VIC114:VIC115 VRY114:VRY115 WBU114:WBU115 WLQ114:WLQ115 WVM114:WVM115 E65650:E65651 JA65650:JA65651 SW65650:SW65651 ACS65650:ACS65651 AMO65650:AMO65651 AWK65650:AWK65651 BGG65650:BGG65651 BQC65650:BQC65651 BZY65650:BZY65651 CJU65650:CJU65651 CTQ65650:CTQ65651 DDM65650:DDM65651 DNI65650:DNI65651 DXE65650:DXE65651 EHA65650:EHA65651 EQW65650:EQW65651 FAS65650:FAS65651 FKO65650:FKO65651 FUK65650:FUK65651 GEG65650:GEG65651 GOC65650:GOC65651 GXY65650:GXY65651 HHU65650:HHU65651 HRQ65650:HRQ65651 IBM65650:IBM65651 ILI65650:ILI65651 IVE65650:IVE65651 JFA65650:JFA65651 JOW65650:JOW65651 JYS65650:JYS65651 KIO65650:KIO65651 KSK65650:KSK65651 LCG65650:LCG65651 LMC65650:LMC65651 LVY65650:LVY65651 MFU65650:MFU65651 MPQ65650:MPQ65651 MZM65650:MZM65651 NJI65650:NJI65651 NTE65650:NTE65651 ODA65650:ODA65651 OMW65650:OMW65651 OWS65650:OWS65651 PGO65650:PGO65651 PQK65650:PQK65651 QAG65650:QAG65651 QKC65650:QKC65651 QTY65650:QTY65651 RDU65650:RDU65651 RNQ65650:RNQ65651 RXM65650:RXM65651 SHI65650:SHI65651 SRE65650:SRE65651 TBA65650:TBA65651 TKW65650:TKW65651 TUS65650:TUS65651 UEO65650:UEO65651 UOK65650:UOK65651 UYG65650:UYG65651 VIC65650:VIC65651 VRY65650:VRY65651 WBU65650:WBU65651 WLQ65650:WLQ65651 WVM65650:WVM65651 E131186:E131187 JA131186:JA131187 SW131186:SW131187 ACS131186:ACS131187 AMO131186:AMO131187 AWK131186:AWK131187 BGG131186:BGG131187 BQC131186:BQC131187 BZY131186:BZY131187 CJU131186:CJU131187 CTQ131186:CTQ131187 DDM131186:DDM131187 DNI131186:DNI131187 DXE131186:DXE131187 EHA131186:EHA131187 EQW131186:EQW131187 FAS131186:FAS131187 FKO131186:FKO131187 FUK131186:FUK131187 GEG131186:GEG131187 GOC131186:GOC131187 GXY131186:GXY131187 HHU131186:HHU131187 HRQ131186:HRQ131187 IBM131186:IBM131187 ILI131186:ILI131187 IVE131186:IVE131187 JFA131186:JFA131187 JOW131186:JOW131187 JYS131186:JYS131187 KIO131186:KIO131187 KSK131186:KSK131187 LCG131186:LCG131187 LMC131186:LMC131187 LVY131186:LVY131187 MFU131186:MFU131187 MPQ131186:MPQ131187 MZM131186:MZM131187 NJI131186:NJI131187 NTE131186:NTE131187 ODA131186:ODA131187 OMW131186:OMW131187 OWS131186:OWS131187 PGO131186:PGO131187 PQK131186:PQK131187 QAG131186:QAG131187 QKC131186:QKC131187 QTY131186:QTY131187 RDU131186:RDU131187 RNQ131186:RNQ131187 RXM131186:RXM131187 SHI131186:SHI131187 SRE131186:SRE131187 TBA131186:TBA131187 TKW131186:TKW131187 TUS131186:TUS131187 UEO131186:UEO131187 UOK131186:UOK131187 UYG131186:UYG131187 VIC131186:VIC131187 VRY131186:VRY131187 WBU131186:WBU131187 WLQ131186:WLQ131187 WVM131186:WVM131187 E196722:E196723 JA196722:JA196723 SW196722:SW196723 ACS196722:ACS196723 AMO196722:AMO196723 AWK196722:AWK196723 BGG196722:BGG196723 BQC196722:BQC196723 BZY196722:BZY196723 CJU196722:CJU196723 CTQ196722:CTQ196723 DDM196722:DDM196723 DNI196722:DNI196723 DXE196722:DXE196723 EHA196722:EHA196723 EQW196722:EQW196723 FAS196722:FAS196723 FKO196722:FKO196723 FUK196722:FUK196723 GEG196722:GEG196723 GOC196722:GOC196723 GXY196722:GXY196723 HHU196722:HHU196723 HRQ196722:HRQ196723 IBM196722:IBM196723 ILI196722:ILI196723 IVE196722:IVE196723 JFA196722:JFA196723 JOW196722:JOW196723 JYS196722:JYS196723 KIO196722:KIO196723 KSK196722:KSK196723 LCG196722:LCG196723 LMC196722:LMC196723 LVY196722:LVY196723 MFU196722:MFU196723 MPQ196722:MPQ196723 MZM196722:MZM196723 NJI196722:NJI196723 NTE196722:NTE196723 ODA196722:ODA196723 OMW196722:OMW196723 OWS196722:OWS196723 PGO196722:PGO196723 PQK196722:PQK196723 QAG196722:QAG196723 QKC196722:QKC196723 QTY196722:QTY196723 RDU196722:RDU196723 RNQ196722:RNQ196723 RXM196722:RXM196723 SHI196722:SHI196723 SRE196722:SRE196723 TBA196722:TBA196723 TKW196722:TKW196723 TUS196722:TUS196723 UEO196722:UEO196723 UOK196722:UOK196723 UYG196722:UYG196723 VIC196722:VIC196723 VRY196722:VRY196723 WBU196722:WBU196723 WLQ196722:WLQ196723 WVM196722:WVM196723 E262258:E262259 JA262258:JA262259 SW262258:SW262259 ACS262258:ACS262259 AMO262258:AMO262259 AWK262258:AWK262259 BGG262258:BGG262259 BQC262258:BQC262259 BZY262258:BZY262259 CJU262258:CJU262259 CTQ262258:CTQ262259 DDM262258:DDM262259 DNI262258:DNI262259 DXE262258:DXE262259 EHA262258:EHA262259 EQW262258:EQW262259 FAS262258:FAS262259 FKO262258:FKO262259 FUK262258:FUK262259 GEG262258:GEG262259 GOC262258:GOC262259 GXY262258:GXY262259 HHU262258:HHU262259 HRQ262258:HRQ262259 IBM262258:IBM262259 ILI262258:ILI262259 IVE262258:IVE262259 JFA262258:JFA262259 JOW262258:JOW262259 JYS262258:JYS262259 KIO262258:KIO262259 KSK262258:KSK262259 LCG262258:LCG262259 LMC262258:LMC262259 LVY262258:LVY262259 MFU262258:MFU262259 MPQ262258:MPQ262259 MZM262258:MZM262259 NJI262258:NJI262259 NTE262258:NTE262259 ODA262258:ODA262259 OMW262258:OMW262259 OWS262258:OWS262259 PGO262258:PGO262259 PQK262258:PQK262259 QAG262258:QAG262259 QKC262258:QKC262259 QTY262258:QTY262259 RDU262258:RDU262259 RNQ262258:RNQ262259 RXM262258:RXM262259 SHI262258:SHI262259 SRE262258:SRE262259 TBA262258:TBA262259 TKW262258:TKW262259 TUS262258:TUS262259 UEO262258:UEO262259 UOK262258:UOK262259 UYG262258:UYG262259 VIC262258:VIC262259 VRY262258:VRY262259 WBU262258:WBU262259 WLQ262258:WLQ262259 WVM262258:WVM262259 E327794:E327795 JA327794:JA327795 SW327794:SW327795 ACS327794:ACS327795 AMO327794:AMO327795 AWK327794:AWK327795 BGG327794:BGG327795 BQC327794:BQC327795 BZY327794:BZY327795 CJU327794:CJU327795 CTQ327794:CTQ327795 DDM327794:DDM327795 DNI327794:DNI327795 DXE327794:DXE327795 EHA327794:EHA327795 EQW327794:EQW327795 FAS327794:FAS327795 FKO327794:FKO327795 FUK327794:FUK327795 GEG327794:GEG327795 GOC327794:GOC327795 GXY327794:GXY327795 HHU327794:HHU327795 HRQ327794:HRQ327795 IBM327794:IBM327795 ILI327794:ILI327795 IVE327794:IVE327795 JFA327794:JFA327795 JOW327794:JOW327795 JYS327794:JYS327795 KIO327794:KIO327795 KSK327794:KSK327795 LCG327794:LCG327795 LMC327794:LMC327795 LVY327794:LVY327795 MFU327794:MFU327795 MPQ327794:MPQ327795 MZM327794:MZM327795 NJI327794:NJI327795 NTE327794:NTE327795 ODA327794:ODA327795 OMW327794:OMW327795 OWS327794:OWS327795 PGO327794:PGO327795 PQK327794:PQK327795 QAG327794:QAG327795 QKC327794:QKC327795 QTY327794:QTY327795 RDU327794:RDU327795 RNQ327794:RNQ327795 RXM327794:RXM327795 SHI327794:SHI327795 SRE327794:SRE327795 TBA327794:TBA327795 TKW327794:TKW327795 TUS327794:TUS327795 UEO327794:UEO327795 UOK327794:UOK327795 UYG327794:UYG327795 VIC327794:VIC327795 VRY327794:VRY327795 WBU327794:WBU327795 WLQ327794:WLQ327795 WVM327794:WVM327795 E393330:E393331 JA393330:JA393331 SW393330:SW393331 ACS393330:ACS393331 AMO393330:AMO393331 AWK393330:AWK393331 BGG393330:BGG393331 BQC393330:BQC393331 BZY393330:BZY393331 CJU393330:CJU393331 CTQ393330:CTQ393331 DDM393330:DDM393331 DNI393330:DNI393331 DXE393330:DXE393331 EHA393330:EHA393331 EQW393330:EQW393331 FAS393330:FAS393331 FKO393330:FKO393331 FUK393330:FUK393331 GEG393330:GEG393331 GOC393330:GOC393331 GXY393330:GXY393331 HHU393330:HHU393331 HRQ393330:HRQ393331 IBM393330:IBM393331 ILI393330:ILI393331 IVE393330:IVE393331 JFA393330:JFA393331 JOW393330:JOW393331 JYS393330:JYS393331 KIO393330:KIO393331 KSK393330:KSK393331 LCG393330:LCG393331 LMC393330:LMC393331 LVY393330:LVY393331 MFU393330:MFU393331 MPQ393330:MPQ393331 MZM393330:MZM393331 NJI393330:NJI393331 NTE393330:NTE393331 ODA393330:ODA393331 OMW393330:OMW393331 OWS393330:OWS393331 PGO393330:PGO393331 PQK393330:PQK393331 QAG393330:QAG393331 QKC393330:QKC393331 QTY393330:QTY393331 RDU393330:RDU393331 RNQ393330:RNQ393331 RXM393330:RXM393331 SHI393330:SHI393331 SRE393330:SRE393331 TBA393330:TBA393331 TKW393330:TKW393331 TUS393330:TUS393331 UEO393330:UEO393331 UOK393330:UOK393331 UYG393330:UYG393331 VIC393330:VIC393331 VRY393330:VRY393331 WBU393330:WBU393331 WLQ393330:WLQ393331 WVM393330:WVM393331 E458866:E458867 JA458866:JA458867 SW458866:SW458867 ACS458866:ACS458867 AMO458866:AMO458867 AWK458866:AWK458867 BGG458866:BGG458867 BQC458866:BQC458867 BZY458866:BZY458867 CJU458866:CJU458867 CTQ458866:CTQ458867 DDM458866:DDM458867 DNI458866:DNI458867 DXE458866:DXE458867 EHA458866:EHA458867 EQW458866:EQW458867 FAS458866:FAS458867 FKO458866:FKO458867 FUK458866:FUK458867 GEG458866:GEG458867 GOC458866:GOC458867 GXY458866:GXY458867 HHU458866:HHU458867 HRQ458866:HRQ458867 IBM458866:IBM458867 ILI458866:ILI458867 IVE458866:IVE458867 JFA458866:JFA458867 JOW458866:JOW458867 JYS458866:JYS458867 KIO458866:KIO458867 KSK458866:KSK458867 LCG458866:LCG458867 LMC458866:LMC458867 LVY458866:LVY458867 MFU458866:MFU458867 MPQ458866:MPQ458867 MZM458866:MZM458867 NJI458866:NJI458867 NTE458866:NTE458867 ODA458866:ODA458867 OMW458866:OMW458867 OWS458866:OWS458867 PGO458866:PGO458867 PQK458866:PQK458867 QAG458866:QAG458867 QKC458866:QKC458867 QTY458866:QTY458867 RDU458866:RDU458867 RNQ458866:RNQ458867 RXM458866:RXM458867 SHI458866:SHI458867 SRE458866:SRE458867 TBA458866:TBA458867 TKW458866:TKW458867 TUS458866:TUS458867 UEO458866:UEO458867 UOK458866:UOK458867 UYG458866:UYG458867 VIC458866:VIC458867 VRY458866:VRY458867 WBU458866:WBU458867 WLQ458866:WLQ458867 WVM458866:WVM458867 E524402:E524403 JA524402:JA524403 SW524402:SW524403 ACS524402:ACS524403 AMO524402:AMO524403 AWK524402:AWK524403 BGG524402:BGG524403 BQC524402:BQC524403 BZY524402:BZY524403 CJU524402:CJU524403 CTQ524402:CTQ524403 DDM524402:DDM524403 DNI524402:DNI524403 DXE524402:DXE524403 EHA524402:EHA524403 EQW524402:EQW524403 FAS524402:FAS524403 FKO524402:FKO524403 FUK524402:FUK524403 GEG524402:GEG524403 GOC524402:GOC524403 GXY524402:GXY524403 HHU524402:HHU524403 HRQ524402:HRQ524403 IBM524402:IBM524403 ILI524402:ILI524403 IVE524402:IVE524403 JFA524402:JFA524403 JOW524402:JOW524403 JYS524402:JYS524403 KIO524402:KIO524403 KSK524402:KSK524403 LCG524402:LCG524403 LMC524402:LMC524403 LVY524402:LVY524403 MFU524402:MFU524403 MPQ524402:MPQ524403 MZM524402:MZM524403 NJI524402:NJI524403 NTE524402:NTE524403 ODA524402:ODA524403 OMW524402:OMW524403 OWS524402:OWS524403 PGO524402:PGO524403 PQK524402:PQK524403 QAG524402:QAG524403 QKC524402:QKC524403 QTY524402:QTY524403 RDU524402:RDU524403 RNQ524402:RNQ524403 RXM524402:RXM524403 SHI524402:SHI524403 SRE524402:SRE524403 TBA524402:TBA524403 TKW524402:TKW524403 TUS524402:TUS524403 UEO524402:UEO524403 UOK524402:UOK524403 UYG524402:UYG524403 VIC524402:VIC524403 VRY524402:VRY524403 WBU524402:WBU524403 WLQ524402:WLQ524403 WVM524402:WVM524403 E589938:E589939 JA589938:JA589939 SW589938:SW589939 ACS589938:ACS589939 AMO589938:AMO589939 AWK589938:AWK589939 BGG589938:BGG589939 BQC589938:BQC589939 BZY589938:BZY589939 CJU589938:CJU589939 CTQ589938:CTQ589939 DDM589938:DDM589939 DNI589938:DNI589939 DXE589938:DXE589939 EHA589938:EHA589939 EQW589938:EQW589939 FAS589938:FAS589939 FKO589938:FKO589939 FUK589938:FUK589939 GEG589938:GEG589939 GOC589938:GOC589939 GXY589938:GXY589939 HHU589938:HHU589939 HRQ589938:HRQ589939 IBM589938:IBM589939 ILI589938:ILI589939 IVE589938:IVE589939 JFA589938:JFA589939 JOW589938:JOW589939 JYS589938:JYS589939 KIO589938:KIO589939 KSK589938:KSK589939 LCG589938:LCG589939 LMC589938:LMC589939 LVY589938:LVY589939 MFU589938:MFU589939 MPQ589938:MPQ589939 MZM589938:MZM589939 NJI589938:NJI589939 NTE589938:NTE589939 ODA589938:ODA589939 OMW589938:OMW589939 OWS589938:OWS589939 PGO589938:PGO589939 PQK589938:PQK589939 QAG589938:QAG589939 QKC589938:QKC589939 QTY589938:QTY589939 RDU589938:RDU589939 RNQ589938:RNQ589939 RXM589938:RXM589939 SHI589938:SHI589939 SRE589938:SRE589939 TBA589938:TBA589939 TKW589938:TKW589939 TUS589938:TUS589939 UEO589938:UEO589939 UOK589938:UOK589939 UYG589938:UYG589939 VIC589938:VIC589939 VRY589938:VRY589939 WBU589938:WBU589939 WLQ589938:WLQ589939 WVM589938:WVM589939 E655474:E655475 JA655474:JA655475 SW655474:SW655475 ACS655474:ACS655475 AMO655474:AMO655475 AWK655474:AWK655475 BGG655474:BGG655475 BQC655474:BQC655475 BZY655474:BZY655475 CJU655474:CJU655475 CTQ655474:CTQ655475 DDM655474:DDM655475 DNI655474:DNI655475 DXE655474:DXE655475 EHA655474:EHA655475 EQW655474:EQW655475 FAS655474:FAS655475 FKO655474:FKO655475 FUK655474:FUK655475 GEG655474:GEG655475 GOC655474:GOC655475 GXY655474:GXY655475 HHU655474:HHU655475 HRQ655474:HRQ655475 IBM655474:IBM655475 ILI655474:ILI655475 IVE655474:IVE655475 JFA655474:JFA655475 JOW655474:JOW655475 JYS655474:JYS655475 KIO655474:KIO655475 KSK655474:KSK655475 LCG655474:LCG655475 LMC655474:LMC655475 LVY655474:LVY655475 MFU655474:MFU655475 MPQ655474:MPQ655475 MZM655474:MZM655475 NJI655474:NJI655475 NTE655474:NTE655475 ODA655474:ODA655475 OMW655474:OMW655475 OWS655474:OWS655475 PGO655474:PGO655475 PQK655474:PQK655475 QAG655474:QAG655475 QKC655474:QKC655475 QTY655474:QTY655475 RDU655474:RDU655475 RNQ655474:RNQ655475 RXM655474:RXM655475 SHI655474:SHI655475 SRE655474:SRE655475 TBA655474:TBA655475 TKW655474:TKW655475 TUS655474:TUS655475 UEO655474:UEO655475 UOK655474:UOK655475 UYG655474:UYG655475 VIC655474:VIC655475 VRY655474:VRY655475 WBU655474:WBU655475 WLQ655474:WLQ655475 WVM655474:WVM655475 E721010:E721011 JA721010:JA721011 SW721010:SW721011 ACS721010:ACS721011 AMO721010:AMO721011 AWK721010:AWK721011 BGG721010:BGG721011 BQC721010:BQC721011 BZY721010:BZY721011 CJU721010:CJU721011 CTQ721010:CTQ721011 DDM721010:DDM721011 DNI721010:DNI721011 DXE721010:DXE721011 EHA721010:EHA721011 EQW721010:EQW721011 FAS721010:FAS721011 FKO721010:FKO721011 FUK721010:FUK721011 GEG721010:GEG721011 GOC721010:GOC721011 GXY721010:GXY721011 HHU721010:HHU721011 HRQ721010:HRQ721011 IBM721010:IBM721011 ILI721010:ILI721011 IVE721010:IVE721011 JFA721010:JFA721011 JOW721010:JOW721011 JYS721010:JYS721011 KIO721010:KIO721011 KSK721010:KSK721011 LCG721010:LCG721011 LMC721010:LMC721011 LVY721010:LVY721011 MFU721010:MFU721011 MPQ721010:MPQ721011 MZM721010:MZM721011 NJI721010:NJI721011 NTE721010:NTE721011 ODA721010:ODA721011 OMW721010:OMW721011 OWS721010:OWS721011 PGO721010:PGO721011 PQK721010:PQK721011 QAG721010:QAG721011 QKC721010:QKC721011 QTY721010:QTY721011 RDU721010:RDU721011 RNQ721010:RNQ721011 RXM721010:RXM721011 SHI721010:SHI721011 SRE721010:SRE721011 TBA721010:TBA721011 TKW721010:TKW721011 TUS721010:TUS721011 UEO721010:UEO721011 UOK721010:UOK721011 UYG721010:UYG721011 VIC721010:VIC721011 VRY721010:VRY721011 WBU721010:WBU721011 WLQ721010:WLQ721011 WVM721010:WVM721011 E786546:E786547 JA786546:JA786547 SW786546:SW786547 ACS786546:ACS786547 AMO786546:AMO786547 AWK786546:AWK786547 BGG786546:BGG786547 BQC786546:BQC786547 BZY786546:BZY786547 CJU786546:CJU786547 CTQ786546:CTQ786547 DDM786546:DDM786547 DNI786546:DNI786547 DXE786546:DXE786547 EHA786546:EHA786547 EQW786546:EQW786547 FAS786546:FAS786547 FKO786546:FKO786547 FUK786546:FUK786547 GEG786546:GEG786547 GOC786546:GOC786547 GXY786546:GXY786547 HHU786546:HHU786547 HRQ786546:HRQ786547 IBM786546:IBM786547 ILI786546:ILI786547 IVE786546:IVE786547 JFA786546:JFA786547 JOW786546:JOW786547 JYS786546:JYS786547 KIO786546:KIO786547 KSK786546:KSK786547 LCG786546:LCG786547 LMC786546:LMC786547 LVY786546:LVY786547 MFU786546:MFU786547 MPQ786546:MPQ786547 MZM786546:MZM786547 NJI786546:NJI786547 NTE786546:NTE786547 ODA786546:ODA786547 OMW786546:OMW786547 OWS786546:OWS786547 PGO786546:PGO786547 PQK786546:PQK786547 QAG786546:QAG786547 QKC786546:QKC786547 QTY786546:QTY786547 RDU786546:RDU786547 RNQ786546:RNQ786547 RXM786546:RXM786547 SHI786546:SHI786547 SRE786546:SRE786547 TBA786546:TBA786547 TKW786546:TKW786547 TUS786546:TUS786547 UEO786546:UEO786547 UOK786546:UOK786547 UYG786546:UYG786547 VIC786546:VIC786547 VRY786546:VRY786547 WBU786546:WBU786547 WLQ786546:WLQ786547 WVM786546:WVM786547 E852082:E852083 JA852082:JA852083 SW852082:SW852083 ACS852082:ACS852083 AMO852082:AMO852083 AWK852082:AWK852083 BGG852082:BGG852083 BQC852082:BQC852083 BZY852082:BZY852083 CJU852082:CJU852083 CTQ852082:CTQ852083 DDM852082:DDM852083 DNI852082:DNI852083 DXE852082:DXE852083 EHA852082:EHA852083 EQW852082:EQW852083 FAS852082:FAS852083 FKO852082:FKO852083 FUK852082:FUK852083 GEG852082:GEG852083 GOC852082:GOC852083 GXY852082:GXY852083 HHU852082:HHU852083 HRQ852082:HRQ852083 IBM852082:IBM852083 ILI852082:ILI852083 IVE852082:IVE852083 JFA852082:JFA852083 JOW852082:JOW852083 JYS852082:JYS852083 KIO852082:KIO852083 KSK852082:KSK852083 LCG852082:LCG852083 LMC852082:LMC852083 LVY852082:LVY852083 MFU852082:MFU852083 MPQ852082:MPQ852083 MZM852082:MZM852083 NJI852082:NJI852083 NTE852082:NTE852083 ODA852082:ODA852083 OMW852082:OMW852083 OWS852082:OWS852083 PGO852082:PGO852083 PQK852082:PQK852083 QAG852082:QAG852083 QKC852082:QKC852083 QTY852082:QTY852083 RDU852082:RDU852083 RNQ852082:RNQ852083 RXM852082:RXM852083 SHI852082:SHI852083 SRE852082:SRE852083 TBA852082:TBA852083 TKW852082:TKW852083 TUS852082:TUS852083 UEO852082:UEO852083 UOK852082:UOK852083 UYG852082:UYG852083 VIC852082:VIC852083 VRY852082:VRY852083 WBU852082:WBU852083 WLQ852082:WLQ852083 WVM852082:WVM852083 E917618:E917619 JA917618:JA917619 SW917618:SW917619 ACS917618:ACS917619 AMO917618:AMO917619 AWK917618:AWK917619 BGG917618:BGG917619 BQC917618:BQC917619 BZY917618:BZY917619 CJU917618:CJU917619 CTQ917618:CTQ917619 DDM917618:DDM917619 DNI917618:DNI917619 DXE917618:DXE917619 EHA917618:EHA917619 EQW917618:EQW917619 FAS917618:FAS917619 FKO917618:FKO917619 FUK917618:FUK917619 GEG917618:GEG917619 GOC917618:GOC917619 GXY917618:GXY917619 HHU917618:HHU917619 HRQ917618:HRQ917619 IBM917618:IBM917619 ILI917618:ILI917619 IVE917618:IVE917619 JFA917618:JFA917619 JOW917618:JOW917619 JYS917618:JYS917619 KIO917618:KIO917619 KSK917618:KSK917619 LCG917618:LCG917619 LMC917618:LMC917619 LVY917618:LVY917619 MFU917618:MFU917619 MPQ917618:MPQ917619 MZM917618:MZM917619 NJI917618:NJI917619 NTE917618:NTE917619 ODA917618:ODA917619 OMW917618:OMW917619 OWS917618:OWS917619 PGO917618:PGO917619 PQK917618:PQK917619 QAG917618:QAG917619 QKC917618:QKC917619 QTY917618:QTY917619 RDU917618:RDU917619 RNQ917618:RNQ917619 RXM917618:RXM917619 SHI917618:SHI917619 SRE917618:SRE917619 TBA917618:TBA917619 TKW917618:TKW917619 TUS917618:TUS917619 UEO917618:UEO917619 UOK917618:UOK917619 UYG917618:UYG917619 VIC917618:VIC917619 VRY917618:VRY917619 WBU917618:WBU917619 WLQ917618:WLQ917619 WVM917618:WVM917619 E983154:E983155 JA983154:JA983155 SW983154:SW983155 ACS983154:ACS983155 AMO983154:AMO983155 AWK983154:AWK983155 BGG983154:BGG983155 BQC983154:BQC983155 BZY983154:BZY983155 CJU983154:CJU983155 CTQ983154:CTQ983155 DDM983154:DDM983155 DNI983154:DNI983155 DXE983154:DXE983155 EHA983154:EHA983155 EQW983154:EQW983155 FAS983154:FAS983155 FKO983154:FKO983155 FUK983154:FUK983155 GEG983154:GEG983155 GOC983154:GOC983155 GXY983154:GXY983155 HHU983154:HHU983155 HRQ983154:HRQ983155 IBM983154:IBM983155 ILI983154:ILI983155 IVE983154:IVE983155 JFA983154:JFA983155 JOW983154:JOW983155 JYS983154:JYS983155 KIO983154:KIO983155 KSK983154:KSK983155 LCG983154:LCG983155 LMC983154:LMC983155 LVY983154:LVY983155 MFU983154:MFU983155 MPQ983154:MPQ983155 MZM983154:MZM983155 NJI983154:NJI983155 NTE983154:NTE983155 ODA983154:ODA983155 OMW983154:OMW983155 OWS983154:OWS983155 PGO983154:PGO983155 PQK983154:PQK983155 QAG983154:QAG983155 QKC983154:QKC983155 QTY983154:QTY983155 RDU983154:RDU983155 RNQ983154:RNQ983155 RXM983154:RXM983155 SHI983154:SHI983155 SRE983154:SRE983155 TBA983154:TBA983155 TKW983154:TKW983155 TUS983154:TUS983155 UEO983154:UEO983155 UOK983154:UOK983155 UYG983154:UYG983155 VIC983154:VIC983155 VRY983154:VRY983155 WBU983154:WBU983155 WLQ983154:WLQ983155 WVM983154:WVM983155 C147:D147 IY147:IZ147 SU147:SV147 ACQ147:ACR147 AMM147:AMN147 AWI147:AWJ147 BGE147:BGF147 BQA147:BQB147 BZW147:BZX147 CJS147:CJT147 CTO147:CTP147 DDK147:DDL147 DNG147:DNH147 DXC147:DXD147 EGY147:EGZ147 EQU147:EQV147 FAQ147:FAR147 FKM147:FKN147 FUI147:FUJ147 GEE147:GEF147 GOA147:GOB147 GXW147:GXX147 HHS147:HHT147 HRO147:HRP147 IBK147:IBL147 ILG147:ILH147 IVC147:IVD147 JEY147:JEZ147 JOU147:JOV147 JYQ147:JYR147 KIM147:KIN147 KSI147:KSJ147 LCE147:LCF147 LMA147:LMB147 LVW147:LVX147 MFS147:MFT147 MPO147:MPP147 MZK147:MZL147 NJG147:NJH147 NTC147:NTD147 OCY147:OCZ147 OMU147:OMV147 OWQ147:OWR147 PGM147:PGN147 PQI147:PQJ147 QAE147:QAF147 QKA147:QKB147 QTW147:QTX147 RDS147:RDT147 RNO147:RNP147 RXK147:RXL147 SHG147:SHH147 SRC147:SRD147 TAY147:TAZ147 TKU147:TKV147 TUQ147:TUR147 UEM147:UEN147 UOI147:UOJ147 UYE147:UYF147 VIA147:VIB147 VRW147:VRX147 WBS147:WBT147 WLO147:WLP147 WVK147:WVL147 C65683:D65683 IY65683:IZ65683 SU65683:SV65683 ACQ65683:ACR65683 AMM65683:AMN65683 AWI65683:AWJ65683 BGE65683:BGF65683 BQA65683:BQB65683 BZW65683:BZX65683 CJS65683:CJT65683 CTO65683:CTP65683 DDK65683:DDL65683 DNG65683:DNH65683 DXC65683:DXD65683 EGY65683:EGZ65683 EQU65683:EQV65683 FAQ65683:FAR65683 FKM65683:FKN65683 FUI65683:FUJ65683 GEE65683:GEF65683 GOA65683:GOB65683 GXW65683:GXX65683 HHS65683:HHT65683 HRO65683:HRP65683 IBK65683:IBL65683 ILG65683:ILH65683 IVC65683:IVD65683 JEY65683:JEZ65683 JOU65683:JOV65683 JYQ65683:JYR65683 KIM65683:KIN65683 KSI65683:KSJ65683 LCE65683:LCF65683 LMA65683:LMB65683 LVW65683:LVX65683 MFS65683:MFT65683 MPO65683:MPP65683 MZK65683:MZL65683 NJG65683:NJH65683 NTC65683:NTD65683 OCY65683:OCZ65683 OMU65683:OMV65683 OWQ65683:OWR65683 PGM65683:PGN65683 PQI65683:PQJ65683 QAE65683:QAF65683 QKA65683:QKB65683 QTW65683:QTX65683 RDS65683:RDT65683 RNO65683:RNP65683 RXK65683:RXL65683 SHG65683:SHH65683 SRC65683:SRD65683 TAY65683:TAZ65683 TKU65683:TKV65683 TUQ65683:TUR65683 UEM65683:UEN65683 UOI65683:UOJ65683 UYE65683:UYF65683 VIA65683:VIB65683 VRW65683:VRX65683 WBS65683:WBT65683 WLO65683:WLP65683 WVK65683:WVL65683 C131219:D131219 IY131219:IZ131219 SU131219:SV131219 ACQ131219:ACR131219 AMM131219:AMN131219 AWI131219:AWJ131219 BGE131219:BGF131219 BQA131219:BQB131219 BZW131219:BZX131219 CJS131219:CJT131219 CTO131219:CTP131219 DDK131219:DDL131219 DNG131219:DNH131219 DXC131219:DXD131219 EGY131219:EGZ131219 EQU131219:EQV131219 FAQ131219:FAR131219 FKM131219:FKN131219 FUI131219:FUJ131219 GEE131219:GEF131219 GOA131219:GOB131219 GXW131219:GXX131219 HHS131219:HHT131219 HRO131219:HRP131219 IBK131219:IBL131219 ILG131219:ILH131219 IVC131219:IVD131219 JEY131219:JEZ131219 JOU131219:JOV131219 JYQ131219:JYR131219 KIM131219:KIN131219 KSI131219:KSJ131219 LCE131219:LCF131219 LMA131219:LMB131219 LVW131219:LVX131219 MFS131219:MFT131219 MPO131219:MPP131219 MZK131219:MZL131219 NJG131219:NJH131219 NTC131219:NTD131219 OCY131219:OCZ131219 OMU131219:OMV131219 OWQ131219:OWR131219 PGM131219:PGN131219 PQI131219:PQJ131219 QAE131219:QAF131219 QKA131219:QKB131219 QTW131219:QTX131219 RDS131219:RDT131219 RNO131219:RNP131219 RXK131219:RXL131219 SHG131219:SHH131219 SRC131219:SRD131219 TAY131219:TAZ131219 TKU131219:TKV131219 TUQ131219:TUR131219 UEM131219:UEN131219 UOI131219:UOJ131219 UYE131219:UYF131219 VIA131219:VIB131219 VRW131219:VRX131219 WBS131219:WBT131219 WLO131219:WLP131219 WVK131219:WVL131219 C196755:D196755 IY196755:IZ196755 SU196755:SV196755 ACQ196755:ACR196755 AMM196755:AMN196755 AWI196755:AWJ196755 BGE196755:BGF196755 BQA196755:BQB196755 BZW196755:BZX196755 CJS196755:CJT196755 CTO196755:CTP196755 DDK196755:DDL196755 DNG196755:DNH196755 DXC196755:DXD196755 EGY196755:EGZ196755 EQU196755:EQV196755 FAQ196755:FAR196755 FKM196755:FKN196755 FUI196755:FUJ196755 GEE196755:GEF196755 GOA196755:GOB196755 GXW196755:GXX196755 HHS196755:HHT196755 HRO196755:HRP196755 IBK196755:IBL196755 ILG196755:ILH196755 IVC196755:IVD196755 JEY196755:JEZ196755 JOU196755:JOV196755 JYQ196755:JYR196755 KIM196755:KIN196755 KSI196755:KSJ196755 LCE196755:LCF196755 LMA196755:LMB196755 LVW196755:LVX196755 MFS196755:MFT196755 MPO196755:MPP196755 MZK196755:MZL196755 NJG196755:NJH196755 NTC196755:NTD196755 OCY196755:OCZ196755 OMU196755:OMV196755 OWQ196755:OWR196755 PGM196755:PGN196755 PQI196755:PQJ196755 QAE196755:QAF196755 QKA196755:QKB196755 QTW196755:QTX196755 RDS196755:RDT196755 RNO196755:RNP196755 RXK196755:RXL196755 SHG196755:SHH196755 SRC196755:SRD196755 TAY196755:TAZ196755 TKU196755:TKV196755 TUQ196755:TUR196755 UEM196755:UEN196755 UOI196755:UOJ196755 UYE196755:UYF196755 VIA196755:VIB196755 VRW196755:VRX196755 WBS196755:WBT196755 WLO196755:WLP196755 WVK196755:WVL196755 C262291:D262291 IY262291:IZ262291 SU262291:SV262291 ACQ262291:ACR262291 AMM262291:AMN262291 AWI262291:AWJ262291 BGE262291:BGF262291 BQA262291:BQB262291 BZW262291:BZX262291 CJS262291:CJT262291 CTO262291:CTP262291 DDK262291:DDL262291 DNG262291:DNH262291 DXC262291:DXD262291 EGY262291:EGZ262291 EQU262291:EQV262291 FAQ262291:FAR262291 FKM262291:FKN262291 FUI262291:FUJ262291 GEE262291:GEF262291 GOA262291:GOB262291 GXW262291:GXX262291 HHS262291:HHT262291 HRO262291:HRP262291 IBK262291:IBL262291 ILG262291:ILH262291 IVC262291:IVD262291 JEY262291:JEZ262291 JOU262291:JOV262291 JYQ262291:JYR262291 KIM262291:KIN262291 KSI262291:KSJ262291 LCE262291:LCF262291 LMA262291:LMB262291 LVW262291:LVX262291 MFS262291:MFT262291 MPO262291:MPP262291 MZK262291:MZL262291 NJG262291:NJH262291 NTC262291:NTD262291 OCY262291:OCZ262291 OMU262291:OMV262291 OWQ262291:OWR262291 PGM262291:PGN262291 PQI262291:PQJ262291 QAE262291:QAF262291 QKA262291:QKB262291 QTW262291:QTX262291 RDS262291:RDT262291 RNO262291:RNP262291 RXK262291:RXL262291 SHG262291:SHH262291 SRC262291:SRD262291 TAY262291:TAZ262291 TKU262291:TKV262291 TUQ262291:TUR262291 UEM262291:UEN262291 UOI262291:UOJ262291 UYE262291:UYF262291 VIA262291:VIB262291 VRW262291:VRX262291 WBS262291:WBT262291 WLO262291:WLP262291 WVK262291:WVL262291 C327827:D327827 IY327827:IZ327827 SU327827:SV327827 ACQ327827:ACR327827 AMM327827:AMN327827 AWI327827:AWJ327827 BGE327827:BGF327827 BQA327827:BQB327827 BZW327827:BZX327827 CJS327827:CJT327827 CTO327827:CTP327827 DDK327827:DDL327827 DNG327827:DNH327827 DXC327827:DXD327827 EGY327827:EGZ327827 EQU327827:EQV327827 FAQ327827:FAR327827 FKM327827:FKN327827 FUI327827:FUJ327827 GEE327827:GEF327827 GOA327827:GOB327827 GXW327827:GXX327827 HHS327827:HHT327827 HRO327827:HRP327827 IBK327827:IBL327827 ILG327827:ILH327827 IVC327827:IVD327827 JEY327827:JEZ327827 JOU327827:JOV327827 JYQ327827:JYR327827 KIM327827:KIN327827 KSI327827:KSJ327827 LCE327827:LCF327827 LMA327827:LMB327827 LVW327827:LVX327827 MFS327827:MFT327827 MPO327827:MPP327827 MZK327827:MZL327827 NJG327827:NJH327827 NTC327827:NTD327827 OCY327827:OCZ327827 OMU327827:OMV327827 OWQ327827:OWR327827 PGM327827:PGN327827 PQI327827:PQJ327827 QAE327827:QAF327827 QKA327827:QKB327827 QTW327827:QTX327827 RDS327827:RDT327827 RNO327827:RNP327827 RXK327827:RXL327827 SHG327827:SHH327827 SRC327827:SRD327827 TAY327827:TAZ327827 TKU327827:TKV327827 TUQ327827:TUR327827 UEM327827:UEN327827 UOI327827:UOJ327827 UYE327827:UYF327827 VIA327827:VIB327827 VRW327827:VRX327827 WBS327827:WBT327827 WLO327827:WLP327827 WVK327827:WVL327827 C393363:D393363 IY393363:IZ393363 SU393363:SV393363 ACQ393363:ACR393363 AMM393363:AMN393363 AWI393363:AWJ393363 BGE393363:BGF393363 BQA393363:BQB393363 BZW393363:BZX393363 CJS393363:CJT393363 CTO393363:CTP393363 DDK393363:DDL393363 DNG393363:DNH393363 DXC393363:DXD393363 EGY393363:EGZ393363 EQU393363:EQV393363 FAQ393363:FAR393363 FKM393363:FKN393363 FUI393363:FUJ393363 GEE393363:GEF393363 GOA393363:GOB393363 GXW393363:GXX393363 HHS393363:HHT393363 HRO393363:HRP393363 IBK393363:IBL393363 ILG393363:ILH393363 IVC393363:IVD393363 JEY393363:JEZ393363 JOU393363:JOV393363 JYQ393363:JYR393363 KIM393363:KIN393363 KSI393363:KSJ393363 LCE393363:LCF393363 LMA393363:LMB393363 LVW393363:LVX393363 MFS393363:MFT393363 MPO393363:MPP393363 MZK393363:MZL393363 NJG393363:NJH393363 NTC393363:NTD393363 OCY393363:OCZ393363 OMU393363:OMV393363 OWQ393363:OWR393363 PGM393363:PGN393363 PQI393363:PQJ393363 QAE393363:QAF393363 QKA393363:QKB393363 QTW393363:QTX393363 RDS393363:RDT393363 RNO393363:RNP393363 RXK393363:RXL393363 SHG393363:SHH393363 SRC393363:SRD393363 TAY393363:TAZ393363 TKU393363:TKV393363 TUQ393363:TUR393363 UEM393363:UEN393363 UOI393363:UOJ393363 UYE393363:UYF393363 VIA393363:VIB393363 VRW393363:VRX393363 WBS393363:WBT393363 WLO393363:WLP393363 WVK393363:WVL393363 C458899:D458899 IY458899:IZ458899 SU458899:SV458899 ACQ458899:ACR458899 AMM458899:AMN458899 AWI458899:AWJ458899 BGE458899:BGF458899 BQA458899:BQB458899 BZW458899:BZX458899 CJS458899:CJT458899 CTO458899:CTP458899 DDK458899:DDL458899 DNG458899:DNH458899 DXC458899:DXD458899 EGY458899:EGZ458899 EQU458899:EQV458899 FAQ458899:FAR458899 FKM458899:FKN458899 FUI458899:FUJ458899 GEE458899:GEF458899 GOA458899:GOB458899 GXW458899:GXX458899 HHS458899:HHT458899 HRO458899:HRP458899 IBK458899:IBL458899 ILG458899:ILH458899 IVC458899:IVD458899 JEY458899:JEZ458899 JOU458899:JOV458899 JYQ458899:JYR458899 KIM458899:KIN458899 KSI458899:KSJ458899 LCE458899:LCF458899 LMA458899:LMB458899 LVW458899:LVX458899 MFS458899:MFT458899 MPO458899:MPP458899 MZK458899:MZL458899 NJG458899:NJH458899 NTC458899:NTD458899 OCY458899:OCZ458899 OMU458899:OMV458899 OWQ458899:OWR458899 PGM458899:PGN458899 PQI458899:PQJ458899 QAE458899:QAF458899 QKA458899:QKB458899 QTW458899:QTX458899 RDS458899:RDT458899 RNO458899:RNP458899 RXK458899:RXL458899 SHG458899:SHH458899 SRC458899:SRD458899 TAY458899:TAZ458899 TKU458899:TKV458899 TUQ458899:TUR458899 UEM458899:UEN458899 UOI458899:UOJ458899 UYE458899:UYF458899 VIA458899:VIB458899 VRW458899:VRX458899 WBS458899:WBT458899 WLO458899:WLP458899 WVK458899:WVL458899 C524435:D524435 IY524435:IZ524435 SU524435:SV524435 ACQ524435:ACR524435 AMM524435:AMN524435 AWI524435:AWJ524435 BGE524435:BGF524435 BQA524435:BQB524435 BZW524435:BZX524435 CJS524435:CJT524435 CTO524435:CTP524435 DDK524435:DDL524435 DNG524435:DNH524435 DXC524435:DXD524435 EGY524435:EGZ524435 EQU524435:EQV524435 FAQ524435:FAR524435 FKM524435:FKN524435 FUI524435:FUJ524435 GEE524435:GEF524435 GOA524435:GOB524435 GXW524435:GXX524435 HHS524435:HHT524435 HRO524435:HRP524435 IBK524435:IBL524435 ILG524435:ILH524435 IVC524435:IVD524435 JEY524435:JEZ524435 JOU524435:JOV524435 JYQ524435:JYR524435 KIM524435:KIN524435 KSI524435:KSJ524435 LCE524435:LCF524435 LMA524435:LMB524435 LVW524435:LVX524435 MFS524435:MFT524435 MPO524435:MPP524435 MZK524435:MZL524435 NJG524435:NJH524435 NTC524435:NTD524435 OCY524435:OCZ524435 OMU524435:OMV524435 OWQ524435:OWR524435 PGM524435:PGN524435 PQI524435:PQJ524435 QAE524435:QAF524435 QKA524435:QKB524435 QTW524435:QTX524435 RDS524435:RDT524435 RNO524435:RNP524435 RXK524435:RXL524435 SHG524435:SHH524435 SRC524435:SRD524435 TAY524435:TAZ524435 TKU524435:TKV524435 TUQ524435:TUR524435 UEM524435:UEN524435 UOI524435:UOJ524435 UYE524435:UYF524435 VIA524435:VIB524435 VRW524435:VRX524435 WBS524435:WBT524435 WLO524435:WLP524435 WVK524435:WVL524435 C589971:D589971 IY589971:IZ589971 SU589971:SV589971 ACQ589971:ACR589971 AMM589971:AMN589971 AWI589971:AWJ589971 BGE589971:BGF589971 BQA589971:BQB589971 BZW589971:BZX589971 CJS589971:CJT589971 CTO589971:CTP589971 DDK589971:DDL589971 DNG589971:DNH589971 DXC589971:DXD589971 EGY589971:EGZ589971 EQU589971:EQV589971 FAQ589971:FAR589971 FKM589971:FKN589971 FUI589971:FUJ589971 GEE589971:GEF589971 GOA589971:GOB589971 GXW589971:GXX589971 HHS589971:HHT589971 HRO589971:HRP589971 IBK589971:IBL589971 ILG589971:ILH589971 IVC589971:IVD589971 JEY589971:JEZ589971 JOU589971:JOV589971 JYQ589971:JYR589971 KIM589971:KIN589971 KSI589971:KSJ589971 LCE589971:LCF589971 LMA589971:LMB589971 LVW589971:LVX589971 MFS589971:MFT589971 MPO589971:MPP589971 MZK589971:MZL589971 NJG589971:NJH589971 NTC589971:NTD589971 OCY589971:OCZ589971 OMU589971:OMV589971 OWQ589971:OWR589971 PGM589971:PGN589971 PQI589971:PQJ589971 QAE589971:QAF589971 QKA589971:QKB589971 QTW589971:QTX589971 RDS589971:RDT589971 RNO589971:RNP589971 RXK589971:RXL589971 SHG589971:SHH589971 SRC589971:SRD589971 TAY589971:TAZ589971 TKU589971:TKV589971 TUQ589971:TUR589971 UEM589971:UEN589971 UOI589971:UOJ589971 UYE589971:UYF589971 VIA589971:VIB589971 VRW589971:VRX589971 WBS589971:WBT589971 WLO589971:WLP589971 WVK589971:WVL589971 C655507:D655507 IY655507:IZ655507 SU655507:SV655507 ACQ655507:ACR655507 AMM655507:AMN655507 AWI655507:AWJ655507 BGE655507:BGF655507 BQA655507:BQB655507 BZW655507:BZX655507 CJS655507:CJT655507 CTO655507:CTP655507 DDK655507:DDL655507 DNG655507:DNH655507 DXC655507:DXD655507 EGY655507:EGZ655507 EQU655507:EQV655507 FAQ655507:FAR655507 FKM655507:FKN655507 FUI655507:FUJ655507 GEE655507:GEF655507 GOA655507:GOB655507 GXW655507:GXX655507 HHS655507:HHT655507 HRO655507:HRP655507 IBK655507:IBL655507 ILG655507:ILH655507 IVC655507:IVD655507 JEY655507:JEZ655507 JOU655507:JOV655507 JYQ655507:JYR655507 KIM655507:KIN655507 KSI655507:KSJ655507 LCE655507:LCF655507 LMA655507:LMB655507 LVW655507:LVX655507 MFS655507:MFT655507 MPO655507:MPP655507 MZK655507:MZL655507 NJG655507:NJH655507 NTC655507:NTD655507 OCY655507:OCZ655507 OMU655507:OMV655507 OWQ655507:OWR655507 PGM655507:PGN655507 PQI655507:PQJ655507 QAE655507:QAF655507 QKA655507:QKB655507 QTW655507:QTX655507 RDS655507:RDT655507 RNO655507:RNP655507 RXK655507:RXL655507 SHG655507:SHH655507 SRC655507:SRD655507 TAY655507:TAZ655507 TKU655507:TKV655507 TUQ655507:TUR655507 UEM655507:UEN655507 UOI655507:UOJ655507 UYE655507:UYF655507 VIA655507:VIB655507 VRW655507:VRX655507 WBS655507:WBT655507 WLO655507:WLP655507 WVK655507:WVL655507 C721043:D721043 IY721043:IZ721043 SU721043:SV721043 ACQ721043:ACR721043 AMM721043:AMN721043 AWI721043:AWJ721043 BGE721043:BGF721043 BQA721043:BQB721043 BZW721043:BZX721043 CJS721043:CJT721043 CTO721043:CTP721043 DDK721043:DDL721043 DNG721043:DNH721043 DXC721043:DXD721043 EGY721043:EGZ721043 EQU721043:EQV721043 FAQ721043:FAR721043 FKM721043:FKN721043 FUI721043:FUJ721043 GEE721043:GEF721043 GOA721043:GOB721043 GXW721043:GXX721043 HHS721043:HHT721043 HRO721043:HRP721043 IBK721043:IBL721043 ILG721043:ILH721043 IVC721043:IVD721043 JEY721043:JEZ721043 JOU721043:JOV721043 JYQ721043:JYR721043 KIM721043:KIN721043 KSI721043:KSJ721043 LCE721043:LCF721043 LMA721043:LMB721043 LVW721043:LVX721043 MFS721043:MFT721043 MPO721043:MPP721043 MZK721043:MZL721043 NJG721043:NJH721043 NTC721043:NTD721043 OCY721043:OCZ721043 OMU721043:OMV721043 OWQ721043:OWR721043 PGM721043:PGN721043 PQI721043:PQJ721043 QAE721043:QAF721043 QKA721043:QKB721043 QTW721043:QTX721043 RDS721043:RDT721043 RNO721043:RNP721043 RXK721043:RXL721043 SHG721043:SHH721043 SRC721043:SRD721043 TAY721043:TAZ721043 TKU721043:TKV721043 TUQ721043:TUR721043 UEM721043:UEN721043 UOI721043:UOJ721043 UYE721043:UYF721043 VIA721043:VIB721043 VRW721043:VRX721043 WBS721043:WBT721043 WLO721043:WLP721043 WVK721043:WVL721043 C786579:D786579 IY786579:IZ786579 SU786579:SV786579 ACQ786579:ACR786579 AMM786579:AMN786579 AWI786579:AWJ786579 BGE786579:BGF786579 BQA786579:BQB786579 BZW786579:BZX786579 CJS786579:CJT786579 CTO786579:CTP786579 DDK786579:DDL786579 DNG786579:DNH786579 DXC786579:DXD786579 EGY786579:EGZ786579 EQU786579:EQV786579 FAQ786579:FAR786579 FKM786579:FKN786579 FUI786579:FUJ786579 GEE786579:GEF786579 GOA786579:GOB786579 GXW786579:GXX786579 HHS786579:HHT786579 HRO786579:HRP786579 IBK786579:IBL786579 ILG786579:ILH786579 IVC786579:IVD786579 JEY786579:JEZ786579 JOU786579:JOV786579 JYQ786579:JYR786579 KIM786579:KIN786579 KSI786579:KSJ786579 LCE786579:LCF786579 LMA786579:LMB786579 LVW786579:LVX786579 MFS786579:MFT786579 MPO786579:MPP786579 MZK786579:MZL786579 NJG786579:NJH786579 NTC786579:NTD786579 OCY786579:OCZ786579 OMU786579:OMV786579 OWQ786579:OWR786579 PGM786579:PGN786579 PQI786579:PQJ786579 QAE786579:QAF786579 QKA786579:QKB786579 QTW786579:QTX786579 RDS786579:RDT786579 RNO786579:RNP786579 RXK786579:RXL786579 SHG786579:SHH786579 SRC786579:SRD786579 TAY786579:TAZ786579 TKU786579:TKV786579 TUQ786579:TUR786579 UEM786579:UEN786579 UOI786579:UOJ786579 UYE786579:UYF786579 VIA786579:VIB786579 VRW786579:VRX786579 WBS786579:WBT786579 WLO786579:WLP786579 WVK786579:WVL786579 C852115:D852115 IY852115:IZ852115 SU852115:SV852115 ACQ852115:ACR852115 AMM852115:AMN852115 AWI852115:AWJ852115 BGE852115:BGF852115 BQA852115:BQB852115 BZW852115:BZX852115 CJS852115:CJT852115 CTO852115:CTP852115 DDK852115:DDL852115 DNG852115:DNH852115 DXC852115:DXD852115 EGY852115:EGZ852115 EQU852115:EQV852115 FAQ852115:FAR852115 FKM852115:FKN852115 FUI852115:FUJ852115 GEE852115:GEF852115 GOA852115:GOB852115 GXW852115:GXX852115 HHS852115:HHT852115 HRO852115:HRP852115 IBK852115:IBL852115 ILG852115:ILH852115 IVC852115:IVD852115 JEY852115:JEZ852115 JOU852115:JOV852115 JYQ852115:JYR852115 KIM852115:KIN852115 KSI852115:KSJ852115 LCE852115:LCF852115 LMA852115:LMB852115 LVW852115:LVX852115 MFS852115:MFT852115 MPO852115:MPP852115 MZK852115:MZL852115 NJG852115:NJH852115 NTC852115:NTD852115 OCY852115:OCZ852115 OMU852115:OMV852115 OWQ852115:OWR852115 PGM852115:PGN852115 PQI852115:PQJ852115 QAE852115:QAF852115 QKA852115:QKB852115 QTW852115:QTX852115 RDS852115:RDT852115 RNO852115:RNP852115 RXK852115:RXL852115 SHG852115:SHH852115 SRC852115:SRD852115 TAY852115:TAZ852115 TKU852115:TKV852115 TUQ852115:TUR852115 UEM852115:UEN852115 UOI852115:UOJ852115 UYE852115:UYF852115 VIA852115:VIB852115 VRW852115:VRX852115 WBS852115:WBT852115 WLO852115:WLP852115 WVK852115:WVL852115 C917651:D917651 IY917651:IZ917651 SU917651:SV917651 ACQ917651:ACR917651 AMM917651:AMN917651 AWI917651:AWJ917651 BGE917651:BGF917651 BQA917651:BQB917651 BZW917651:BZX917651 CJS917651:CJT917651 CTO917651:CTP917651 DDK917651:DDL917651 DNG917651:DNH917651 DXC917651:DXD917651 EGY917651:EGZ917651 EQU917651:EQV917651 FAQ917651:FAR917651 FKM917651:FKN917651 FUI917651:FUJ917651 GEE917651:GEF917651 GOA917651:GOB917651 GXW917651:GXX917651 HHS917651:HHT917651 HRO917651:HRP917651 IBK917651:IBL917651 ILG917651:ILH917651 IVC917651:IVD917651 JEY917651:JEZ917651 JOU917651:JOV917651 JYQ917651:JYR917651 KIM917651:KIN917651 KSI917651:KSJ917651 LCE917651:LCF917651 LMA917651:LMB917651 LVW917651:LVX917651 MFS917651:MFT917651 MPO917651:MPP917651 MZK917651:MZL917651 NJG917651:NJH917651 NTC917651:NTD917651 OCY917651:OCZ917651 OMU917651:OMV917651 OWQ917651:OWR917651 PGM917651:PGN917651 PQI917651:PQJ917651 QAE917651:QAF917651 QKA917651:QKB917651 QTW917651:QTX917651 RDS917651:RDT917651 RNO917651:RNP917651 RXK917651:RXL917651 SHG917651:SHH917651 SRC917651:SRD917651 TAY917651:TAZ917651 TKU917651:TKV917651 TUQ917651:TUR917651 UEM917651:UEN917651 UOI917651:UOJ917651 UYE917651:UYF917651 VIA917651:VIB917651 VRW917651:VRX917651 WBS917651:WBT917651 WLO917651:WLP917651 WVK917651:WVL917651 C983187:D983187 IY983187:IZ983187 SU983187:SV983187 ACQ983187:ACR983187 AMM983187:AMN983187 AWI983187:AWJ983187 BGE983187:BGF983187 BQA983187:BQB983187 BZW983187:BZX983187 CJS983187:CJT983187 CTO983187:CTP983187 DDK983187:DDL983187 DNG983187:DNH983187 DXC983187:DXD983187 EGY983187:EGZ983187 EQU983187:EQV983187 FAQ983187:FAR983187 FKM983187:FKN983187 FUI983187:FUJ983187 GEE983187:GEF983187 GOA983187:GOB983187 GXW983187:GXX983187 HHS983187:HHT983187 HRO983187:HRP983187 IBK983187:IBL983187 ILG983187:ILH983187 IVC983187:IVD983187 JEY983187:JEZ983187 JOU983187:JOV983187 JYQ983187:JYR983187 KIM983187:KIN983187 KSI983187:KSJ983187 LCE983187:LCF983187 LMA983187:LMB983187 LVW983187:LVX983187 MFS983187:MFT983187 MPO983187:MPP983187 MZK983187:MZL983187 NJG983187:NJH983187 NTC983187:NTD983187 OCY983187:OCZ983187 OMU983187:OMV983187 OWQ983187:OWR983187 PGM983187:PGN983187 PQI983187:PQJ983187 QAE983187:QAF983187 QKA983187:QKB983187 QTW983187:QTX983187 RDS983187:RDT983187 RNO983187:RNP983187 RXK983187:RXL983187 SHG983187:SHH983187 SRC983187:SRD983187 TAY983187:TAZ983187 TKU983187:TKV983187 TUQ983187:TUR983187 UEM983187:UEN983187 UOI983187:UOJ983187 UYE983187:UYF983187 VIA983187:VIB983187 VRW983187:VRX983187 WBS983187:WBT983187 WLO983187:WLP983187 WVK983187:WVL983187 E98:E99 JA98:JA99 SW98:SW99 ACS98:ACS99 AMO98:AMO99 AWK98:AWK99 BGG98:BGG99 BQC98:BQC99 BZY98:BZY99 CJU98:CJU99 CTQ98:CTQ99 DDM98:DDM99 DNI98:DNI99 DXE98:DXE99 EHA98:EHA99 EQW98:EQW99 FAS98:FAS99 FKO98:FKO99 FUK98:FUK99 GEG98:GEG99 GOC98:GOC99 GXY98:GXY99 HHU98:HHU99 HRQ98:HRQ99 IBM98:IBM99 ILI98:ILI99 IVE98:IVE99 JFA98:JFA99 JOW98:JOW99 JYS98:JYS99 KIO98:KIO99 KSK98:KSK99 LCG98:LCG99 LMC98:LMC99 LVY98:LVY99 MFU98:MFU99 MPQ98:MPQ99 MZM98:MZM99 NJI98:NJI99 NTE98:NTE99 ODA98:ODA99 OMW98:OMW99 OWS98:OWS99 PGO98:PGO99 PQK98:PQK99 QAG98:QAG99 QKC98:QKC99 QTY98:QTY99 RDU98:RDU99 RNQ98:RNQ99 RXM98:RXM99 SHI98:SHI99 SRE98:SRE99 TBA98:TBA99 TKW98:TKW99 TUS98:TUS99 UEO98:UEO99 UOK98:UOK99 UYG98:UYG99 VIC98:VIC99 VRY98:VRY99 WBU98:WBU99 WLQ98:WLQ99 WVM98:WVM99 E65634:E65635 JA65634:JA65635 SW65634:SW65635 ACS65634:ACS65635 AMO65634:AMO65635 AWK65634:AWK65635 BGG65634:BGG65635 BQC65634:BQC65635 BZY65634:BZY65635 CJU65634:CJU65635 CTQ65634:CTQ65635 DDM65634:DDM65635 DNI65634:DNI65635 DXE65634:DXE65635 EHA65634:EHA65635 EQW65634:EQW65635 FAS65634:FAS65635 FKO65634:FKO65635 FUK65634:FUK65635 GEG65634:GEG65635 GOC65634:GOC65635 GXY65634:GXY65635 HHU65634:HHU65635 HRQ65634:HRQ65635 IBM65634:IBM65635 ILI65634:ILI65635 IVE65634:IVE65635 JFA65634:JFA65635 JOW65634:JOW65635 JYS65634:JYS65635 KIO65634:KIO65635 KSK65634:KSK65635 LCG65634:LCG65635 LMC65634:LMC65635 LVY65634:LVY65635 MFU65634:MFU65635 MPQ65634:MPQ65635 MZM65634:MZM65635 NJI65634:NJI65635 NTE65634:NTE65635 ODA65634:ODA65635 OMW65634:OMW65635 OWS65634:OWS65635 PGO65634:PGO65635 PQK65634:PQK65635 QAG65634:QAG65635 QKC65634:QKC65635 QTY65634:QTY65635 RDU65634:RDU65635 RNQ65634:RNQ65635 RXM65634:RXM65635 SHI65634:SHI65635 SRE65634:SRE65635 TBA65634:TBA65635 TKW65634:TKW65635 TUS65634:TUS65635 UEO65634:UEO65635 UOK65634:UOK65635 UYG65634:UYG65635 VIC65634:VIC65635 VRY65634:VRY65635 WBU65634:WBU65635 WLQ65634:WLQ65635 WVM65634:WVM65635 E131170:E131171 JA131170:JA131171 SW131170:SW131171 ACS131170:ACS131171 AMO131170:AMO131171 AWK131170:AWK131171 BGG131170:BGG131171 BQC131170:BQC131171 BZY131170:BZY131171 CJU131170:CJU131171 CTQ131170:CTQ131171 DDM131170:DDM131171 DNI131170:DNI131171 DXE131170:DXE131171 EHA131170:EHA131171 EQW131170:EQW131171 FAS131170:FAS131171 FKO131170:FKO131171 FUK131170:FUK131171 GEG131170:GEG131171 GOC131170:GOC131171 GXY131170:GXY131171 HHU131170:HHU131171 HRQ131170:HRQ131171 IBM131170:IBM131171 ILI131170:ILI131171 IVE131170:IVE131171 JFA131170:JFA131171 JOW131170:JOW131171 JYS131170:JYS131171 KIO131170:KIO131171 KSK131170:KSK131171 LCG131170:LCG131171 LMC131170:LMC131171 LVY131170:LVY131171 MFU131170:MFU131171 MPQ131170:MPQ131171 MZM131170:MZM131171 NJI131170:NJI131171 NTE131170:NTE131171 ODA131170:ODA131171 OMW131170:OMW131171 OWS131170:OWS131171 PGO131170:PGO131171 PQK131170:PQK131171 QAG131170:QAG131171 QKC131170:QKC131171 QTY131170:QTY131171 RDU131170:RDU131171 RNQ131170:RNQ131171 RXM131170:RXM131171 SHI131170:SHI131171 SRE131170:SRE131171 TBA131170:TBA131171 TKW131170:TKW131171 TUS131170:TUS131171 UEO131170:UEO131171 UOK131170:UOK131171 UYG131170:UYG131171 VIC131170:VIC131171 VRY131170:VRY131171 WBU131170:WBU131171 WLQ131170:WLQ131171 WVM131170:WVM131171 E196706:E196707 JA196706:JA196707 SW196706:SW196707 ACS196706:ACS196707 AMO196706:AMO196707 AWK196706:AWK196707 BGG196706:BGG196707 BQC196706:BQC196707 BZY196706:BZY196707 CJU196706:CJU196707 CTQ196706:CTQ196707 DDM196706:DDM196707 DNI196706:DNI196707 DXE196706:DXE196707 EHA196706:EHA196707 EQW196706:EQW196707 FAS196706:FAS196707 FKO196706:FKO196707 FUK196706:FUK196707 GEG196706:GEG196707 GOC196706:GOC196707 GXY196706:GXY196707 HHU196706:HHU196707 HRQ196706:HRQ196707 IBM196706:IBM196707 ILI196706:ILI196707 IVE196706:IVE196707 JFA196706:JFA196707 JOW196706:JOW196707 JYS196706:JYS196707 KIO196706:KIO196707 KSK196706:KSK196707 LCG196706:LCG196707 LMC196706:LMC196707 LVY196706:LVY196707 MFU196706:MFU196707 MPQ196706:MPQ196707 MZM196706:MZM196707 NJI196706:NJI196707 NTE196706:NTE196707 ODA196706:ODA196707 OMW196706:OMW196707 OWS196706:OWS196707 PGO196706:PGO196707 PQK196706:PQK196707 QAG196706:QAG196707 QKC196706:QKC196707 QTY196706:QTY196707 RDU196706:RDU196707 RNQ196706:RNQ196707 RXM196706:RXM196707 SHI196706:SHI196707 SRE196706:SRE196707 TBA196706:TBA196707 TKW196706:TKW196707 TUS196706:TUS196707 UEO196706:UEO196707 UOK196706:UOK196707 UYG196706:UYG196707 VIC196706:VIC196707 VRY196706:VRY196707 WBU196706:WBU196707 WLQ196706:WLQ196707 WVM196706:WVM196707 E262242:E262243 JA262242:JA262243 SW262242:SW262243 ACS262242:ACS262243 AMO262242:AMO262243 AWK262242:AWK262243 BGG262242:BGG262243 BQC262242:BQC262243 BZY262242:BZY262243 CJU262242:CJU262243 CTQ262242:CTQ262243 DDM262242:DDM262243 DNI262242:DNI262243 DXE262242:DXE262243 EHA262242:EHA262243 EQW262242:EQW262243 FAS262242:FAS262243 FKO262242:FKO262243 FUK262242:FUK262243 GEG262242:GEG262243 GOC262242:GOC262243 GXY262242:GXY262243 HHU262242:HHU262243 HRQ262242:HRQ262243 IBM262242:IBM262243 ILI262242:ILI262243 IVE262242:IVE262243 JFA262242:JFA262243 JOW262242:JOW262243 JYS262242:JYS262243 KIO262242:KIO262243 KSK262242:KSK262243 LCG262242:LCG262243 LMC262242:LMC262243 LVY262242:LVY262243 MFU262242:MFU262243 MPQ262242:MPQ262243 MZM262242:MZM262243 NJI262242:NJI262243 NTE262242:NTE262243 ODA262242:ODA262243 OMW262242:OMW262243 OWS262242:OWS262243 PGO262242:PGO262243 PQK262242:PQK262243 QAG262242:QAG262243 QKC262242:QKC262243 QTY262242:QTY262243 RDU262242:RDU262243 RNQ262242:RNQ262243 RXM262242:RXM262243 SHI262242:SHI262243 SRE262242:SRE262243 TBA262242:TBA262243 TKW262242:TKW262243 TUS262242:TUS262243 UEO262242:UEO262243 UOK262242:UOK262243 UYG262242:UYG262243 VIC262242:VIC262243 VRY262242:VRY262243 WBU262242:WBU262243 WLQ262242:WLQ262243 WVM262242:WVM262243 E327778:E327779 JA327778:JA327779 SW327778:SW327779 ACS327778:ACS327779 AMO327778:AMO327779 AWK327778:AWK327779 BGG327778:BGG327779 BQC327778:BQC327779 BZY327778:BZY327779 CJU327778:CJU327779 CTQ327778:CTQ327779 DDM327778:DDM327779 DNI327778:DNI327779 DXE327778:DXE327779 EHA327778:EHA327779 EQW327778:EQW327779 FAS327778:FAS327779 FKO327778:FKO327779 FUK327778:FUK327779 GEG327778:GEG327779 GOC327778:GOC327779 GXY327778:GXY327779 HHU327778:HHU327779 HRQ327778:HRQ327779 IBM327778:IBM327779 ILI327778:ILI327779 IVE327778:IVE327779 JFA327778:JFA327779 JOW327778:JOW327779 JYS327778:JYS327779 KIO327778:KIO327779 KSK327778:KSK327779 LCG327778:LCG327779 LMC327778:LMC327779 LVY327778:LVY327779 MFU327778:MFU327779 MPQ327778:MPQ327779 MZM327778:MZM327779 NJI327778:NJI327779 NTE327778:NTE327779 ODA327778:ODA327779 OMW327778:OMW327779 OWS327778:OWS327779 PGO327778:PGO327779 PQK327778:PQK327779 QAG327778:QAG327779 QKC327778:QKC327779 QTY327778:QTY327779 RDU327778:RDU327779 RNQ327778:RNQ327779 RXM327778:RXM327779 SHI327778:SHI327779 SRE327778:SRE327779 TBA327778:TBA327779 TKW327778:TKW327779 TUS327778:TUS327779 UEO327778:UEO327779 UOK327778:UOK327779 UYG327778:UYG327779 VIC327778:VIC327779 VRY327778:VRY327779 WBU327778:WBU327779 WLQ327778:WLQ327779 WVM327778:WVM327779 E393314:E393315 JA393314:JA393315 SW393314:SW393315 ACS393314:ACS393315 AMO393314:AMO393315 AWK393314:AWK393315 BGG393314:BGG393315 BQC393314:BQC393315 BZY393314:BZY393315 CJU393314:CJU393315 CTQ393314:CTQ393315 DDM393314:DDM393315 DNI393314:DNI393315 DXE393314:DXE393315 EHA393314:EHA393315 EQW393314:EQW393315 FAS393314:FAS393315 FKO393314:FKO393315 FUK393314:FUK393315 GEG393314:GEG393315 GOC393314:GOC393315 GXY393314:GXY393315 HHU393314:HHU393315 HRQ393314:HRQ393315 IBM393314:IBM393315 ILI393314:ILI393315 IVE393314:IVE393315 JFA393314:JFA393315 JOW393314:JOW393315 JYS393314:JYS393315 KIO393314:KIO393315 KSK393314:KSK393315 LCG393314:LCG393315 LMC393314:LMC393315 LVY393314:LVY393315 MFU393314:MFU393315 MPQ393314:MPQ393315 MZM393314:MZM393315 NJI393314:NJI393315 NTE393314:NTE393315 ODA393314:ODA393315 OMW393314:OMW393315 OWS393314:OWS393315 PGO393314:PGO393315 PQK393314:PQK393315 QAG393314:QAG393315 QKC393314:QKC393315 QTY393314:QTY393315 RDU393314:RDU393315 RNQ393314:RNQ393315 RXM393314:RXM393315 SHI393314:SHI393315 SRE393314:SRE393315 TBA393314:TBA393315 TKW393314:TKW393315 TUS393314:TUS393315 UEO393314:UEO393315 UOK393314:UOK393315 UYG393314:UYG393315 VIC393314:VIC393315 VRY393314:VRY393315 WBU393314:WBU393315 WLQ393314:WLQ393315 WVM393314:WVM393315 E458850:E458851 JA458850:JA458851 SW458850:SW458851 ACS458850:ACS458851 AMO458850:AMO458851 AWK458850:AWK458851 BGG458850:BGG458851 BQC458850:BQC458851 BZY458850:BZY458851 CJU458850:CJU458851 CTQ458850:CTQ458851 DDM458850:DDM458851 DNI458850:DNI458851 DXE458850:DXE458851 EHA458850:EHA458851 EQW458850:EQW458851 FAS458850:FAS458851 FKO458850:FKO458851 FUK458850:FUK458851 GEG458850:GEG458851 GOC458850:GOC458851 GXY458850:GXY458851 HHU458850:HHU458851 HRQ458850:HRQ458851 IBM458850:IBM458851 ILI458850:ILI458851 IVE458850:IVE458851 JFA458850:JFA458851 JOW458850:JOW458851 JYS458850:JYS458851 KIO458850:KIO458851 KSK458850:KSK458851 LCG458850:LCG458851 LMC458850:LMC458851 LVY458850:LVY458851 MFU458850:MFU458851 MPQ458850:MPQ458851 MZM458850:MZM458851 NJI458850:NJI458851 NTE458850:NTE458851 ODA458850:ODA458851 OMW458850:OMW458851 OWS458850:OWS458851 PGO458850:PGO458851 PQK458850:PQK458851 QAG458850:QAG458851 QKC458850:QKC458851 QTY458850:QTY458851 RDU458850:RDU458851 RNQ458850:RNQ458851 RXM458850:RXM458851 SHI458850:SHI458851 SRE458850:SRE458851 TBA458850:TBA458851 TKW458850:TKW458851 TUS458850:TUS458851 UEO458850:UEO458851 UOK458850:UOK458851 UYG458850:UYG458851 VIC458850:VIC458851 VRY458850:VRY458851 WBU458850:WBU458851 WLQ458850:WLQ458851 WVM458850:WVM458851 E524386:E524387 JA524386:JA524387 SW524386:SW524387 ACS524386:ACS524387 AMO524386:AMO524387 AWK524386:AWK524387 BGG524386:BGG524387 BQC524386:BQC524387 BZY524386:BZY524387 CJU524386:CJU524387 CTQ524386:CTQ524387 DDM524386:DDM524387 DNI524386:DNI524387 DXE524386:DXE524387 EHA524386:EHA524387 EQW524386:EQW524387 FAS524386:FAS524387 FKO524386:FKO524387 FUK524386:FUK524387 GEG524386:GEG524387 GOC524386:GOC524387 GXY524386:GXY524387 HHU524386:HHU524387 HRQ524386:HRQ524387 IBM524386:IBM524387 ILI524386:ILI524387 IVE524386:IVE524387 JFA524386:JFA524387 JOW524386:JOW524387 JYS524386:JYS524387 KIO524386:KIO524387 KSK524386:KSK524387 LCG524386:LCG524387 LMC524386:LMC524387 LVY524386:LVY524387 MFU524386:MFU524387 MPQ524386:MPQ524387 MZM524386:MZM524387 NJI524386:NJI524387 NTE524386:NTE524387 ODA524386:ODA524387 OMW524386:OMW524387 OWS524386:OWS524387 PGO524386:PGO524387 PQK524386:PQK524387 QAG524386:QAG524387 QKC524386:QKC524387 QTY524386:QTY524387 RDU524386:RDU524387 RNQ524386:RNQ524387 RXM524386:RXM524387 SHI524386:SHI524387 SRE524386:SRE524387 TBA524386:TBA524387 TKW524386:TKW524387 TUS524386:TUS524387 UEO524386:UEO524387 UOK524386:UOK524387 UYG524386:UYG524387 VIC524386:VIC524387 VRY524386:VRY524387 WBU524386:WBU524387 WLQ524386:WLQ524387 WVM524386:WVM524387 E589922:E589923 JA589922:JA589923 SW589922:SW589923 ACS589922:ACS589923 AMO589922:AMO589923 AWK589922:AWK589923 BGG589922:BGG589923 BQC589922:BQC589923 BZY589922:BZY589923 CJU589922:CJU589923 CTQ589922:CTQ589923 DDM589922:DDM589923 DNI589922:DNI589923 DXE589922:DXE589923 EHA589922:EHA589923 EQW589922:EQW589923 FAS589922:FAS589923 FKO589922:FKO589923 FUK589922:FUK589923 GEG589922:GEG589923 GOC589922:GOC589923 GXY589922:GXY589923 HHU589922:HHU589923 HRQ589922:HRQ589923 IBM589922:IBM589923 ILI589922:ILI589923 IVE589922:IVE589923 JFA589922:JFA589923 JOW589922:JOW589923 JYS589922:JYS589923 KIO589922:KIO589923 KSK589922:KSK589923 LCG589922:LCG589923 LMC589922:LMC589923 LVY589922:LVY589923 MFU589922:MFU589923 MPQ589922:MPQ589923 MZM589922:MZM589923 NJI589922:NJI589923 NTE589922:NTE589923 ODA589922:ODA589923 OMW589922:OMW589923 OWS589922:OWS589923 PGO589922:PGO589923 PQK589922:PQK589923 QAG589922:QAG589923 QKC589922:QKC589923 QTY589922:QTY589923 RDU589922:RDU589923 RNQ589922:RNQ589923 RXM589922:RXM589923 SHI589922:SHI589923 SRE589922:SRE589923 TBA589922:TBA589923 TKW589922:TKW589923 TUS589922:TUS589923 UEO589922:UEO589923 UOK589922:UOK589923 UYG589922:UYG589923 VIC589922:VIC589923 VRY589922:VRY589923 WBU589922:WBU589923 WLQ589922:WLQ589923 WVM589922:WVM589923 E655458:E655459 JA655458:JA655459 SW655458:SW655459 ACS655458:ACS655459 AMO655458:AMO655459 AWK655458:AWK655459 BGG655458:BGG655459 BQC655458:BQC655459 BZY655458:BZY655459 CJU655458:CJU655459 CTQ655458:CTQ655459 DDM655458:DDM655459 DNI655458:DNI655459 DXE655458:DXE655459 EHA655458:EHA655459 EQW655458:EQW655459 FAS655458:FAS655459 FKO655458:FKO655459 FUK655458:FUK655459 GEG655458:GEG655459 GOC655458:GOC655459 GXY655458:GXY655459 HHU655458:HHU655459 HRQ655458:HRQ655459 IBM655458:IBM655459 ILI655458:ILI655459 IVE655458:IVE655459 JFA655458:JFA655459 JOW655458:JOW655459 JYS655458:JYS655459 KIO655458:KIO655459 KSK655458:KSK655459 LCG655458:LCG655459 LMC655458:LMC655459 LVY655458:LVY655459 MFU655458:MFU655459 MPQ655458:MPQ655459 MZM655458:MZM655459 NJI655458:NJI655459 NTE655458:NTE655459 ODA655458:ODA655459 OMW655458:OMW655459 OWS655458:OWS655459 PGO655458:PGO655459 PQK655458:PQK655459 QAG655458:QAG655459 QKC655458:QKC655459 QTY655458:QTY655459 RDU655458:RDU655459 RNQ655458:RNQ655459 RXM655458:RXM655459 SHI655458:SHI655459 SRE655458:SRE655459 TBA655458:TBA655459 TKW655458:TKW655459 TUS655458:TUS655459 UEO655458:UEO655459 UOK655458:UOK655459 UYG655458:UYG655459 VIC655458:VIC655459 VRY655458:VRY655459 WBU655458:WBU655459 WLQ655458:WLQ655459 WVM655458:WVM655459 E720994:E720995 JA720994:JA720995 SW720994:SW720995 ACS720994:ACS720995 AMO720994:AMO720995 AWK720994:AWK720995 BGG720994:BGG720995 BQC720994:BQC720995 BZY720994:BZY720995 CJU720994:CJU720995 CTQ720994:CTQ720995 DDM720994:DDM720995 DNI720994:DNI720995 DXE720994:DXE720995 EHA720994:EHA720995 EQW720994:EQW720995 FAS720994:FAS720995 FKO720994:FKO720995 FUK720994:FUK720995 GEG720994:GEG720995 GOC720994:GOC720995 GXY720994:GXY720995 HHU720994:HHU720995 HRQ720994:HRQ720995 IBM720994:IBM720995 ILI720994:ILI720995 IVE720994:IVE720995 JFA720994:JFA720995 JOW720994:JOW720995 JYS720994:JYS720995 KIO720994:KIO720995 KSK720994:KSK720995 LCG720994:LCG720995 LMC720994:LMC720995 LVY720994:LVY720995 MFU720994:MFU720995 MPQ720994:MPQ720995 MZM720994:MZM720995 NJI720994:NJI720995 NTE720994:NTE720995 ODA720994:ODA720995 OMW720994:OMW720995 OWS720994:OWS720995 PGO720994:PGO720995 PQK720994:PQK720995 QAG720994:QAG720995 QKC720994:QKC720995 QTY720994:QTY720995 RDU720994:RDU720995 RNQ720994:RNQ720995 RXM720994:RXM720995 SHI720994:SHI720995 SRE720994:SRE720995 TBA720994:TBA720995 TKW720994:TKW720995 TUS720994:TUS720995 UEO720994:UEO720995 UOK720994:UOK720995 UYG720994:UYG720995 VIC720994:VIC720995 VRY720994:VRY720995 WBU720994:WBU720995 WLQ720994:WLQ720995 WVM720994:WVM720995 E786530:E786531 JA786530:JA786531 SW786530:SW786531 ACS786530:ACS786531 AMO786530:AMO786531 AWK786530:AWK786531 BGG786530:BGG786531 BQC786530:BQC786531 BZY786530:BZY786531 CJU786530:CJU786531 CTQ786530:CTQ786531 DDM786530:DDM786531 DNI786530:DNI786531 DXE786530:DXE786531 EHA786530:EHA786531 EQW786530:EQW786531 FAS786530:FAS786531 FKO786530:FKO786531 FUK786530:FUK786531 GEG786530:GEG786531 GOC786530:GOC786531 GXY786530:GXY786531 HHU786530:HHU786531 HRQ786530:HRQ786531 IBM786530:IBM786531 ILI786530:ILI786531 IVE786530:IVE786531 JFA786530:JFA786531 JOW786530:JOW786531 JYS786530:JYS786531 KIO786530:KIO786531 KSK786530:KSK786531 LCG786530:LCG786531 LMC786530:LMC786531 LVY786530:LVY786531 MFU786530:MFU786531 MPQ786530:MPQ786531 MZM786530:MZM786531 NJI786530:NJI786531 NTE786530:NTE786531 ODA786530:ODA786531 OMW786530:OMW786531 OWS786530:OWS786531 PGO786530:PGO786531 PQK786530:PQK786531 QAG786530:QAG786531 QKC786530:QKC786531 QTY786530:QTY786531 RDU786530:RDU786531 RNQ786530:RNQ786531 RXM786530:RXM786531 SHI786530:SHI786531 SRE786530:SRE786531 TBA786530:TBA786531 TKW786530:TKW786531 TUS786530:TUS786531 UEO786530:UEO786531 UOK786530:UOK786531 UYG786530:UYG786531 VIC786530:VIC786531 VRY786530:VRY786531 WBU786530:WBU786531 WLQ786530:WLQ786531 WVM786530:WVM786531 E852066:E852067 JA852066:JA852067 SW852066:SW852067 ACS852066:ACS852067 AMO852066:AMO852067 AWK852066:AWK852067 BGG852066:BGG852067 BQC852066:BQC852067 BZY852066:BZY852067 CJU852066:CJU852067 CTQ852066:CTQ852067 DDM852066:DDM852067 DNI852066:DNI852067 DXE852066:DXE852067 EHA852066:EHA852067 EQW852066:EQW852067 FAS852066:FAS852067 FKO852066:FKO852067 FUK852066:FUK852067 GEG852066:GEG852067 GOC852066:GOC852067 GXY852066:GXY852067 HHU852066:HHU852067 HRQ852066:HRQ852067 IBM852066:IBM852067 ILI852066:ILI852067 IVE852066:IVE852067 JFA852066:JFA852067 JOW852066:JOW852067 JYS852066:JYS852067 KIO852066:KIO852067 KSK852066:KSK852067 LCG852066:LCG852067 LMC852066:LMC852067 LVY852066:LVY852067 MFU852066:MFU852067 MPQ852066:MPQ852067 MZM852066:MZM852067 NJI852066:NJI852067 NTE852066:NTE852067 ODA852066:ODA852067 OMW852066:OMW852067 OWS852066:OWS852067 PGO852066:PGO852067 PQK852066:PQK852067 QAG852066:QAG852067 QKC852066:QKC852067 QTY852066:QTY852067 RDU852066:RDU852067 RNQ852066:RNQ852067 RXM852066:RXM852067 SHI852066:SHI852067 SRE852066:SRE852067 TBA852066:TBA852067 TKW852066:TKW852067 TUS852066:TUS852067 UEO852066:UEO852067 UOK852066:UOK852067 UYG852066:UYG852067 VIC852066:VIC852067 VRY852066:VRY852067 WBU852066:WBU852067 WLQ852066:WLQ852067 WVM852066:WVM852067 E917602:E917603 JA917602:JA917603 SW917602:SW917603 ACS917602:ACS917603 AMO917602:AMO917603 AWK917602:AWK917603 BGG917602:BGG917603 BQC917602:BQC917603 BZY917602:BZY917603 CJU917602:CJU917603 CTQ917602:CTQ917603 DDM917602:DDM917603 DNI917602:DNI917603 DXE917602:DXE917603 EHA917602:EHA917603 EQW917602:EQW917603 FAS917602:FAS917603 FKO917602:FKO917603 FUK917602:FUK917603 GEG917602:GEG917603 GOC917602:GOC917603 GXY917602:GXY917603 HHU917602:HHU917603 HRQ917602:HRQ917603 IBM917602:IBM917603 ILI917602:ILI917603 IVE917602:IVE917603 JFA917602:JFA917603 JOW917602:JOW917603 JYS917602:JYS917603 KIO917602:KIO917603 KSK917602:KSK917603 LCG917602:LCG917603 LMC917602:LMC917603 LVY917602:LVY917603 MFU917602:MFU917603 MPQ917602:MPQ917603 MZM917602:MZM917603 NJI917602:NJI917603 NTE917602:NTE917603 ODA917602:ODA917603 OMW917602:OMW917603 OWS917602:OWS917603 PGO917602:PGO917603 PQK917602:PQK917603 QAG917602:QAG917603 QKC917602:QKC917603 QTY917602:QTY917603 RDU917602:RDU917603 RNQ917602:RNQ917603 RXM917602:RXM917603 SHI917602:SHI917603 SRE917602:SRE917603 TBA917602:TBA917603 TKW917602:TKW917603 TUS917602:TUS917603 UEO917602:UEO917603 UOK917602:UOK917603 UYG917602:UYG917603 VIC917602:VIC917603 VRY917602:VRY917603 WBU917602:WBU917603 WLQ917602:WLQ917603 WVM917602:WVM917603 E983138:E983139 JA983138:JA983139 SW983138:SW983139 ACS983138:ACS983139 AMO983138:AMO983139 AWK983138:AWK983139 BGG983138:BGG983139 BQC983138:BQC983139 BZY983138:BZY983139 CJU983138:CJU983139 CTQ983138:CTQ983139 DDM983138:DDM983139 DNI983138:DNI983139 DXE983138:DXE983139 EHA983138:EHA983139 EQW983138:EQW983139 FAS983138:FAS983139 FKO983138:FKO983139 FUK983138:FUK983139 GEG983138:GEG983139 GOC983138:GOC983139 GXY983138:GXY983139 HHU983138:HHU983139 HRQ983138:HRQ983139 IBM983138:IBM983139 ILI983138:ILI983139 IVE983138:IVE983139 JFA983138:JFA983139 JOW983138:JOW983139 JYS983138:JYS983139 KIO983138:KIO983139 KSK983138:KSK983139 LCG983138:LCG983139 LMC983138:LMC983139 LVY983138:LVY983139 MFU983138:MFU983139 MPQ983138:MPQ983139 MZM983138:MZM983139 NJI983138:NJI983139 NTE983138:NTE983139 ODA983138:ODA983139 OMW983138:OMW983139 OWS983138:OWS983139 PGO983138:PGO983139 PQK983138:PQK983139 QAG983138:QAG983139 QKC983138:QKC983139 QTY983138:QTY983139 RDU983138:RDU983139 RNQ983138:RNQ983139 RXM983138:RXM983139 SHI983138:SHI983139 SRE983138:SRE983139 TBA983138:TBA983139 TKW983138:TKW983139 TUS983138:TUS983139 UEO983138:UEO983139 UOK983138:UOK983139 UYG983138:UYG983139 VIC983138:VIC983139 VRY983138:VRY983139 WBU983138:WBU983139 WLQ983138:WLQ983139 WVM983138:WVM983139 C163:D163 IY163:IZ163 SU163:SV163 ACQ163:ACR163 AMM163:AMN163 AWI163:AWJ163 BGE163:BGF163 BQA163:BQB163 BZW163:BZX163 CJS163:CJT163 CTO163:CTP163 DDK163:DDL163 DNG163:DNH163 DXC163:DXD163 EGY163:EGZ163 EQU163:EQV163 FAQ163:FAR163 FKM163:FKN163 FUI163:FUJ163 GEE163:GEF163 GOA163:GOB163 GXW163:GXX163 HHS163:HHT163 HRO163:HRP163 IBK163:IBL163 ILG163:ILH163 IVC163:IVD163 JEY163:JEZ163 JOU163:JOV163 JYQ163:JYR163 KIM163:KIN163 KSI163:KSJ163 LCE163:LCF163 LMA163:LMB163 LVW163:LVX163 MFS163:MFT163 MPO163:MPP163 MZK163:MZL163 NJG163:NJH163 NTC163:NTD163 OCY163:OCZ163 OMU163:OMV163 OWQ163:OWR163 PGM163:PGN163 PQI163:PQJ163 QAE163:QAF163 QKA163:QKB163 QTW163:QTX163 RDS163:RDT163 RNO163:RNP163 RXK163:RXL163 SHG163:SHH163 SRC163:SRD163 TAY163:TAZ163 TKU163:TKV163 TUQ163:TUR163 UEM163:UEN163 UOI163:UOJ163 UYE163:UYF163 VIA163:VIB163 VRW163:VRX163 WBS163:WBT163 WLO163:WLP163 WVK163:WVL163 C65699:D65699 IY65699:IZ65699 SU65699:SV65699 ACQ65699:ACR65699 AMM65699:AMN65699 AWI65699:AWJ65699 BGE65699:BGF65699 BQA65699:BQB65699 BZW65699:BZX65699 CJS65699:CJT65699 CTO65699:CTP65699 DDK65699:DDL65699 DNG65699:DNH65699 DXC65699:DXD65699 EGY65699:EGZ65699 EQU65699:EQV65699 FAQ65699:FAR65699 FKM65699:FKN65699 FUI65699:FUJ65699 GEE65699:GEF65699 GOA65699:GOB65699 GXW65699:GXX65699 HHS65699:HHT65699 HRO65699:HRP65699 IBK65699:IBL65699 ILG65699:ILH65699 IVC65699:IVD65699 JEY65699:JEZ65699 JOU65699:JOV65699 JYQ65699:JYR65699 KIM65699:KIN65699 KSI65699:KSJ65699 LCE65699:LCF65699 LMA65699:LMB65699 LVW65699:LVX65699 MFS65699:MFT65699 MPO65699:MPP65699 MZK65699:MZL65699 NJG65699:NJH65699 NTC65699:NTD65699 OCY65699:OCZ65699 OMU65699:OMV65699 OWQ65699:OWR65699 PGM65699:PGN65699 PQI65699:PQJ65699 QAE65699:QAF65699 QKA65699:QKB65699 QTW65699:QTX65699 RDS65699:RDT65699 RNO65699:RNP65699 RXK65699:RXL65699 SHG65699:SHH65699 SRC65699:SRD65699 TAY65699:TAZ65699 TKU65699:TKV65699 TUQ65699:TUR65699 UEM65699:UEN65699 UOI65699:UOJ65699 UYE65699:UYF65699 VIA65699:VIB65699 VRW65699:VRX65699 WBS65699:WBT65699 WLO65699:WLP65699 WVK65699:WVL65699 C131235:D131235 IY131235:IZ131235 SU131235:SV131235 ACQ131235:ACR131235 AMM131235:AMN131235 AWI131235:AWJ131235 BGE131235:BGF131235 BQA131235:BQB131235 BZW131235:BZX131235 CJS131235:CJT131235 CTO131235:CTP131235 DDK131235:DDL131235 DNG131235:DNH131235 DXC131235:DXD131235 EGY131235:EGZ131235 EQU131235:EQV131235 FAQ131235:FAR131235 FKM131235:FKN131235 FUI131235:FUJ131235 GEE131235:GEF131235 GOA131235:GOB131235 GXW131235:GXX131235 HHS131235:HHT131235 HRO131235:HRP131235 IBK131235:IBL131235 ILG131235:ILH131235 IVC131235:IVD131235 JEY131235:JEZ131235 JOU131235:JOV131235 JYQ131235:JYR131235 KIM131235:KIN131235 KSI131235:KSJ131235 LCE131235:LCF131235 LMA131235:LMB131235 LVW131235:LVX131235 MFS131235:MFT131235 MPO131235:MPP131235 MZK131235:MZL131235 NJG131235:NJH131235 NTC131235:NTD131235 OCY131235:OCZ131235 OMU131235:OMV131235 OWQ131235:OWR131235 PGM131235:PGN131235 PQI131235:PQJ131235 QAE131235:QAF131235 QKA131235:QKB131235 QTW131235:QTX131235 RDS131235:RDT131235 RNO131235:RNP131235 RXK131235:RXL131235 SHG131235:SHH131235 SRC131235:SRD131235 TAY131235:TAZ131235 TKU131235:TKV131235 TUQ131235:TUR131235 UEM131235:UEN131235 UOI131235:UOJ131235 UYE131235:UYF131235 VIA131235:VIB131235 VRW131235:VRX131235 WBS131235:WBT131235 WLO131235:WLP131235 WVK131235:WVL131235 C196771:D196771 IY196771:IZ196771 SU196771:SV196771 ACQ196771:ACR196771 AMM196771:AMN196771 AWI196771:AWJ196771 BGE196771:BGF196771 BQA196771:BQB196771 BZW196771:BZX196771 CJS196771:CJT196771 CTO196771:CTP196771 DDK196771:DDL196771 DNG196771:DNH196771 DXC196771:DXD196771 EGY196771:EGZ196771 EQU196771:EQV196771 FAQ196771:FAR196771 FKM196771:FKN196771 FUI196771:FUJ196771 GEE196771:GEF196771 GOA196771:GOB196771 GXW196771:GXX196771 HHS196771:HHT196771 HRO196771:HRP196771 IBK196771:IBL196771 ILG196771:ILH196771 IVC196771:IVD196771 JEY196771:JEZ196771 JOU196771:JOV196771 JYQ196771:JYR196771 KIM196771:KIN196771 KSI196771:KSJ196771 LCE196771:LCF196771 LMA196771:LMB196771 LVW196771:LVX196771 MFS196771:MFT196771 MPO196771:MPP196771 MZK196771:MZL196771 NJG196771:NJH196771 NTC196771:NTD196771 OCY196771:OCZ196771 OMU196771:OMV196771 OWQ196771:OWR196771 PGM196771:PGN196771 PQI196771:PQJ196771 QAE196771:QAF196771 QKA196771:QKB196771 QTW196771:QTX196771 RDS196771:RDT196771 RNO196771:RNP196771 RXK196771:RXL196771 SHG196771:SHH196771 SRC196771:SRD196771 TAY196771:TAZ196771 TKU196771:TKV196771 TUQ196771:TUR196771 UEM196771:UEN196771 UOI196771:UOJ196771 UYE196771:UYF196771 VIA196771:VIB196771 VRW196771:VRX196771 WBS196771:WBT196771 WLO196771:WLP196771 WVK196771:WVL196771 C262307:D262307 IY262307:IZ262307 SU262307:SV262307 ACQ262307:ACR262307 AMM262307:AMN262307 AWI262307:AWJ262307 BGE262307:BGF262307 BQA262307:BQB262307 BZW262307:BZX262307 CJS262307:CJT262307 CTO262307:CTP262307 DDK262307:DDL262307 DNG262307:DNH262307 DXC262307:DXD262307 EGY262307:EGZ262307 EQU262307:EQV262307 FAQ262307:FAR262307 FKM262307:FKN262307 FUI262307:FUJ262307 GEE262307:GEF262307 GOA262307:GOB262307 GXW262307:GXX262307 HHS262307:HHT262307 HRO262307:HRP262307 IBK262307:IBL262307 ILG262307:ILH262307 IVC262307:IVD262307 JEY262307:JEZ262307 JOU262307:JOV262307 JYQ262307:JYR262307 KIM262307:KIN262307 KSI262307:KSJ262307 LCE262307:LCF262307 LMA262307:LMB262307 LVW262307:LVX262307 MFS262307:MFT262307 MPO262307:MPP262307 MZK262307:MZL262307 NJG262307:NJH262307 NTC262307:NTD262307 OCY262307:OCZ262307 OMU262307:OMV262307 OWQ262307:OWR262307 PGM262307:PGN262307 PQI262307:PQJ262307 QAE262307:QAF262307 QKA262307:QKB262307 QTW262307:QTX262307 RDS262307:RDT262307 RNO262307:RNP262307 RXK262307:RXL262307 SHG262307:SHH262307 SRC262307:SRD262307 TAY262307:TAZ262307 TKU262307:TKV262307 TUQ262307:TUR262307 UEM262307:UEN262307 UOI262307:UOJ262307 UYE262307:UYF262307 VIA262307:VIB262307 VRW262307:VRX262307 WBS262307:WBT262307 WLO262307:WLP262307 WVK262307:WVL262307 C327843:D327843 IY327843:IZ327843 SU327843:SV327843 ACQ327843:ACR327843 AMM327843:AMN327843 AWI327843:AWJ327843 BGE327843:BGF327843 BQA327843:BQB327843 BZW327843:BZX327843 CJS327843:CJT327843 CTO327843:CTP327843 DDK327843:DDL327843 DNG327843:DNH327843 DXC327843:DXD327843 EGY327843:EGZ327843 EQU327843:EQV327843 FAQ327843:FAR327843 FKM327843:FKN327843 FUI327843:FUJ327843 GEE327843:GEF327843 GOA327843:GOB327843 GXW327843:GXX327843 HHS327843:HHT327843 HRO327843:HRP327843 IBK327843:IBL327843 ILG327843:ILH327843 IVC327843:IVD327843 JEY327843:JEZ327843 JOU327843:JOV327843 JYQ327843:JYR327843 KIM327843:KIN327843 KSI327843:KSJ327843 LCE327843:LCF327843 LMA327843:LMB327843 LVW327843:LVX327843 MFS327843:MFT327843 MPO327843:MPP327843 MZK327843:MZL327843 NJG327843:NJH327843 NTC327843:NTD327843 OCY327843:OCZ327843 OMU327843:OMV327843 OWQ327843:OWR327843 PGM327843:PGN327843 PQI327843:PQJ327843 QAE327843:QAF327843 QKA327843:QKB327843 QTW327843:QTX327843 RDS327843:RDT327843 RNO327843:RNP327843 RXK327843:RXL327843 SHG327843:SHH327843 SRC327843:SRD327843 TAY327843:TAZ327843 TKU327843:TKV327843 TUQ327843:TUR327843 UEM327843:UEN327843 UOI327843:UOJ327843 UYE327843:UYF327843 VIA327843:VIB327843 VRW327843:VRX327843 WBS327843:WBT327843 WLO327843:WLP327843 WVK327843:WVL327843 C393379:D393379 IY393379:IZ393379 SU393379:SV393379 ACQ393379:ACR393379 AMM393379:AMN393379 AWI393379:AWJ393379 BGE393379:BGF393379 BQA393379:BQB393379 BZW393379:BZX393379 CJS393379:CJT393379 CTO393379:CTP393379 DDK393379:DDL393379 DNG393379:DNH393379 DXC393379:DXD393379 EGY393379:EGZ393379 EQU393379:EQV393379 FAQ393379:FAR393379 FKM393379:FKN393379 FUI393379:FUJ393379 GEE393379:GEF393379 GOA393379:GOB393379 GXW393379:GXX393379 HHS393379:HHT393379 HRO393379:HRP393379 IBK393379:IBL393379 ILG393379:ILH393379 IVC393379:IVD393379 JEY393379:JEZ393379 JOU393379:JOV393379 JYQ393379:JYR393379 KIM393379:KIN393379 KSI393379:KSJ393379 LCE393379:LCF393379 LMA393379:LMB393379 LVW393379:LVX393379 MFS393379:MFT393379 MPO393379:MPP393379 MZK393379:MZL393379 NJG393379:NJH393379 NTC393379:NTD393379 OCY393379:OCZ393379 OMU393379:OMV393379 OWQ393379:OWR393379 PGM393379:PGN393379 PQI393379:PQJ393379 QAE393379:QAF393379 QKA393379:QKB393379 QTW393379:QTX393379 RDS393379:RDT393379 RNO393379:RNP393379 RXK393379:RXL393379 SHG393379:SHH393379 SRC393379:SRD393379 TAY393379:TAZ393379 TKU393379:TKV393379 TUQ393379:TUR393379 UEM393379:UEN393379 UOI393379:UOJ393379 UYE393379:UYF393379 VIA393379:VIB393379 VRW393379:VRX393379 WBS393379:WBT393379 WLO393379:WLP393379 WVK393379:WVL393379 C458915:D458915 IY458915:IZ458915 SU458915:SV458915 ACQ458915:ACR458915 AMM458915:AMN458915 AWI458915:AWJ458915 BGE458915:BGF458915 BQA458915:BQB458915 BZW458915:BZX458915 CJS458915:CJT458915 CTO458915:CTP458915 DDK458915:DDL458915 DNG458915:DNH458915 DXC458915:DXD458915 EGY458915:EGZ458915 EQU458915:EQV458915 FAQ458915:FAR458915 FKM458915:FKN458915 FUI458915:FUJ458915 GEE458915:GEF458915 GOA458915:GOB458915 GXW458915:GXX458915 HHS458915:HHT458915 HRO458915:HRP458915 IBK458915:IBL458915 ILG458915:ILH458915 IVC458915:IVD458915 JEY458915:JEZ458915 JOU458915:JOV458915 JYQ458915:JYR458915 KIM458915:KIN458915 KSI458915:KSJ458915 LCE458915:LCF458915 LMA458915:LMB458915 LVW458915:LVX458915 MFS458915:MFT458915 MPO458915:MPP458915 MZK458915:MZL458915 NJG458915:NJH458915 NTC458915:NTD458915 OCY458915:OCZ458915 OMU458915:OMV458915 OWQ458915:OWR458915 PGM458915:PGN458915 PQI458915:PQJ458915 QAE458915:QAF458915 QKA458915:QKB458915 QTW458915:QTX458915 RDS458915:RDT458915 RNO458915:RNP458915 RXK458915:RXL458915 SHG458915:SHH458915 SRC458915:SRD458915 TAY458915:TAZ458915 TKU458915:TKV458915 TUQ458915:TUR458915 UEM458915:UEN458915 UOI458915:UOJ458915 UYE458915:UYF458915 VIA458915:VIB458915 VRW458915:VRX458915 WBS458915:WBT458915 WLO458915:WLP458915 WVK458915:WVL458915 C524451:D524451 IY524451:IZ524451 SU524451:SV524451 ACQ524451:ACR524451 AMM524451:AMN524451 AWI524451:AWJ524451 BGE524451:BGF524451 BQA524451:BQB524451 BZW524451:BZX524451 CJS524451:CJT524451 CTO524451:CTP524451 DDK524451:DDL524451 DNG524451:DNH524451 DXC524451:DXD524451 EGY524451:EGZ524451 EQU524451:EQV524451 FAQ524451:FAR524451 FKM524451:FKN524451 FUI524451:FUJ524451 GEE524451:GEF524451 GOA524451:GOB524451 GXW524451:GXX524451 HHS524451:HHT524451 HRO524451:HRP524451 IBK524451:IBL524451 ILG524451:ILH524451 IVC524451:IVD524451 JEY524451:JEZ524451 JOU524451:JOV524451 JYQ524451:JYR524451 KIM524451:KIN524451 KSI524451:KSJ524451 LCE524451:LCF524451 LMA524451:LMB524451 LVW524451:LVX524451 MFS524451:MFT524451 MPO524451:MPP524451 MZK524451:MZL524451 NJG524451:NJH524451 NTC524451:NTD524451 OCY524451:OCZ524451 OMU524451:OMV524451 OWQ524451:OWR524451 PGM524451:PGN524451 PQI524451:PQJ524451 QAE524451:QAF524451 QKA524451:QKB524451 QTW524451:QTX524451 RDS524451:RDT524451 RNO524451:RNP524451 RXK524451:RXL524451 SHG524451:SHH524451 SRC524451:SRD524451 TAY524451:TAZ524451 TKU524451:TKV524451 TUQ524451:TUR524451 UEM524451:UEN524451 UOI524451:UOJ524451 UYE524451:UYF524451 VIA524451:VIB524451 VRW524451:VRX524451 WBS524451:WBT524451 WLO524451:WLP524451 WVK524451:WVL524451 C589987:D589987 IY589987:IZ589987 SU589987:SV589987 ACQ589987:ACR589987 AMM589987:AMN589987 AWI589987:AWJ589987 BGE589987:BGF589987 BQA589987:BQB589987 BZW589987:BZX589987 CJS589987:CJT589987 CTO589987:CTP589987 DDK589987:DDL589987 DNG589987:DNH589987 DXC589987:DXD589987 EGY589987:EGZ589987 EQU589987:EQV589987 FAQ589987:FAR589987 FKM589987:FKN589987 FUI589987:FUJ589987 GEE589987:GEF589987 GOA589987:GOB589987 GXW589987:GXX589987 HHS589987:HHT589987 HRO589987:HRP589987 IBK589987:IBL589987 ILG589987:ILH589987 IVC589987:IVD589987 JEY589987:JEZ589987 JOU589987:JOV589987 JYQ589987:JYR589987 KIM589987:KIN589987 KSI589987:KSJ589987 LCE589987:LCF589987 LMA589987:LMB589987 LVW589987:LVX589987 MFS589987:MFT589987 MPO589987:MPP589987 MZK589987:MZL589987 NJG589987:NJH589987 NTC589987:NTD589987 OCY589987:OCZ589987 OMU589987:OMV589987 OWQ589987:OWR589987 PGM589987:PGN589987 PQI589987:PQJ589987 QAE589987:QAF589987 QKA589987:QKB589987 QTW589987:QTX589987 RDS589987:RDT589987 RNO589987:RNP589987 RXK589987:RXL589987 SHG589987:SHH589987 SRC589987:SRD589987 TAY589987:TAZ589987 TKU589987:TKV589987 TUQ589987:TUR589987 UEM589987:UEN589987 UOI589987:UOJ589987 UYE589987:UYF589987 VIA589987:VIB589987 VRW589987:VRX589987 WBS589987:WBT589987 WLO589987:WLP589987 WVK589987:WVL589987 C655523:D655523 IY655523:IZ655523 SU655523:SV655523 ACQ655523:ACR655523 AMM655523:AMN655523 AWI655523:AWJ655523 BGE655523:BGF655523 BQA655523:BQB655523 BZW655523:BZX655523 CJS655523:CJT655523 CTO655523:CTP655523 DDK655523:DDL655523 DNG655523:DNH655523 DXC655523:DXD655523 EGY655523:EGZ655523 EQU655523:EQV655523 FAQ655523:FAR655523 FKM655523:FKN655523 FUI655523:FUJ655523 GEE655523:GEF655523 GOA655523:GOB655523 GXW655523:GXX655523 HHS655523:HHT655523 HRO655523:HRP655523 IBK655523:IBL655523 ILG655523:ILH655523 IVC655523:IVD655523 JEY655523:JEZ655523 JOU655523:JOV655523 JYQ655523:JYR655523 KIM655523:KIN655523 KSI655523:KSJ655523 LCE655523:LCF655523 LMA655523:LMB655523 LVW655523:LVX655523 MFS655523:MFT655523 MPO655523:MPP655523 MZK655523:MZL655523 NJG655523:NJH655523 NTC655523:NTD655523 OCY655523:OCZ655523 OMU655523:OMV655523 OWQ655523:OWR655523 PGM655523:PGN655523 PQI655523:PQJ655523 QAE655523:QAF655523 QKA655523:QKB655523 QTW655523:QTX655523 RDS655523:RDT655523 RNO655523:RNP655523 RXK655523:RXL655523 SHG655523:SHH655523 SRC655523:SRD655523 TAY655523:TAZ655523 TKU655523:TKV655523 TUQ655523:TUR655523 UEM655523:UEN655523 UOI655523:UOJ655523 UYE655523:UYF655523 VIA655523:VIB655523 VRW655523:VRX655523 WBS655523:WBT655523 WLO655523:WLP655523 WVK655523:WVL655523 C721059:D721059 IY721059:IZ721059 SU721059:SV721059 ACQ721059:ACR721059 AMM721059:AMN721059 AWI721059:AWJ721059 BGE721059:BGF721059 BQA721059:BQB721059 BZW721059:BZX721059 CJS721059:CJT721059 CTO721059:CTP721059 DDK721059:DDL721059 DNG721059:DNH721059 DXC721059:DXD721059 EGY721059:EGZ721059 EQU721059:EQV721059 FAQ721059:FAR721059 FKM721059:FKN721059 FUI721059:FUJ721059 GEE721059:GEF721059 GOA721059:GOB721059 GXW721059:GXX721059 HHS721059:HHT721059 HRO721059:HRP721059 IBK721059:IBL721059 ILG721059:ILH721059 IVC721059:IVD721059 JEY721059:JEZ721059 JOU721059:JOV721059 JYQ721059:JYR721059 KIM721059:KIN721059 KSI721059:KSJ721059 LCE721059:LCF721059 LMA721059:LMB721059 LVW721059:LVX721059 MFS721059:MFT721059 MPO721059:MPP721059 MZK721059:MZL721059 NJG721059:NJH721059 NTC721059:NTD721059 OCY721059:OCZ721059 OMU721059:OMV721059 OWQ721059:OWR721059 PGM721059:PGN721059 PQI721059:PQJ721059 QAE721059:QAF721059 QKA721059:QKB721059 QTW721059:QTX721059 RDS721059:RDT721059 RNO721059:RNP721059 RXK721059:RXL721059 SHG721059:SHH721059 SRC721059:SRD721059 TAY721059:TAZ721059 TKU721059:TKV721059 TUQ721059:TUR721059 UEM721059:UEN721059 UOI721059:UOJ721059 UYE721059:UYF721059 VIA721059:VIB721059 VRW721059:VRX721059 WBS721059:WBT721059 WLO721059:WLP721059 WVK721059:WVL721059 C786595:D786595 IY786595:IZ786595 SU786595:SV786595 ACQ786595:ACR786595 AMM786595:AMN786595 AWI786595:AWJ786595 BGE786595:BGF786595 BQA786595:BQB786595 BZW786595:BZX786595 CJS786595:CJT786595 CTO786595:CTP786595 DDK786595:DDL786595 DNG786595:DNH786595 DXC786595:DXD786595 EGY786595:EGZ786595 EQU786595:EQV786595 FAQ786595:FAR786595 FKM786595:FKN786595 FUI786595:FUJ786595 GEE786595:GEF786595 GOA786595:GOB786595 GXW786595:GXX786595 HHS786595:HHT786595 HRO786595:HRP786595 IBK786595:IBL786595 ILG786595:ILH786595 IVC786595:IVD786595 JEY786595:JEZ786595 JOU786595:JOV786595 JYQ786595:JYR786595 KIM786595:KIN786595 KSI786595:KSJ786595 LCE786595:LCF786595 LMA786595:LMB786595 LVW786595:LVX786595 MFS786595:MFT786595 MPO786595:MPP786595 MZK786595:MZL786595 NJG786595:NJH786595 NTC786595:NTD786595 OCY786595:OCZ786595 OMU786595:OMV786595 OWQ786595:OWR786595 PGM786595:PGN786595 PQI786595:PQJ786595 QAE786595:QAF786595 QKA786595:QKB786595 QTW786595:QTX786595 RDS786595:RDT786595 RNO786595:RNP786595 RXK786595:RXL786595 SHG786595:SHH786595 SRC786595:SRD786595 TAY786595:TAZ786595 TKU786595:TKV786595 TUQ786595:TUR786595 UEM786595:UEN786595 UOI786595:UOJ786595 UYE786595:UYF786595 VIA786595:VIB786595 VRW786595:VRX786595 WBS786595:WBT786595 WLO786595:WLP786595 WVK786595:WVL786595 C852131:D852131 IY852131:IZ852131 SU852131:SV852131 ACQ852131:ACR852131 AMM852131:AMN852131 AWI852131:AWJ852131 BGE852131:BGF852131 BQA852131:BQB852131 BZW852131:BZX852131 CJS852131:CJT852131 CTO852131:CTP852131 DDK852131:DDL852131 DNG852131:DNH852131 DXC852131:DXD852131 EGY852131:EGZ852131 EQU852131:EQV852131 FAQ852131:FAR852131 FKM852131:FKN852131 FUI852131:FUJ852131 GEE852131:GEF852131 GOA852131:GOB852131 GXW852131:GXX852131 HHS852131:HHT852131 HRO852131:HRP852131 IBK852131:IBL852131 ILG852131:ILH852131 IVC852131:IVD852131 JEY852131:JEZ852131 JOU852131:JOV852131 JYQ852131:JYR852131 KIM852131:KIN852131 KSI852131:KSJ852131 LCE852131:LCF852131 LMA852131:LMB852131 LVW852131:LVX852131 MFS852131:MFT852131 MPO852131:MPP852131 MZK852131:MZL852131 NJG852131:NJH852131 NTC852131:NTD852131 OCY852131:OCZ852131 OMU852131:OMV852131 OWQ852131:OWR852131 PGM852131:PGN852131 PQI852131:PQJ852131 QAE852131:QAF852131 QKA852131:QKB852131 QTW852131:QTX852131 RDS852131:RDT852131 RNO852131:RNP852131 RXK852131:RXL852131 SHG852131:SHH852131 SRC852131:SRD852131 TAY852131:TAZ852131 TKU852131:TKV852131 TUQ852131:TUR852131 UEM852131:UEN852131 UOI852131:UOJ852131 UYE852131:UYF852131 VIA852131:VIB852131 VRW852131:VRX852131 WBS852131:WBT852131 WLO852131:WLP852131 WVK852131:WVL852131 C917667:D917667 IY917667:IZ917667 SU917667:SV917667 ACQ917667:ACR917667 AMM917667:AMN917667 AWI917667:AWJ917667 BGE917667:BGF917667 BQA917667:BQB917667 BZW917667:BZX917667 CJS917667:CJT917667 CTO917667:CTP917667 DDK917667:DDL917667 DNG917667:DNH917667 DXC917667:DXD917667 EGY917667:EGZ917667 EQU917667:EQV917667 FAQ917667:FAR917667 FKM917667:FKN917667 FUI917667:FUJ917667 GEE917667:GEF917667 GOA917667:GOB917667 GXW917667:GXX917667 HHS917667:HHT917667 HRO917667:HRP917667 IBK917667:IBL917667 ILG917667:ILH917667 IVC917667:IVD917667 JEY917667:JEZ917667 JOU917667:JOV917667 JYQ917667:JYR917667 KIM917667:KIN917667 KSI917667:KSJ917667 LCE917667:LCF917667 LMA917667:LMB917667 LVW917667:LVX917667 MFS917667:MFT917667 MPO917667:MPP917667 MZK917667:MZL917667 NJG917667:NJH917667 NTC917667:NTD917667 OCY917667:OCZ917667 OMU917667:OMV917667 OWQ917667:OWR917667 PGM917667:PGN917667 PQI917667:PQJ917667 QAE917667:QAF917667 QKA917667:QKB917667 QTW917667:QTX917667 RDS917667:RDT917667 RNO917667:RNP917667 RXK917667:RXL917667 SHG917667:SHH917667 SRC917667:SRD917667 TAY917667:TAZ917667 TKU917667:TKV917667 TUQ917667:TUR917667 UEM917667:UEN917667 UOI917667:UOJ917667 UYE917667:UYF917667 VIA917667:VIB917667 VRW917667:VRX917667 WBS917667:WBT917667 WLO917667:WLP917667 WVK917667:WVL917667 C983203:D983203 IY983203:IZ983203 SU983203:SV983203 ACQ983203:ACR983203 AMM983203:AMN983203 AWI983203:AWJ983203 BGE983203:BGF983203 BQA983203:BQB983203 BZW983203:BZX983203 CJS983203:CJT983203 CTO983203:CTP983203 DDK983203:DDL983203 DNG983203:DNH983203 DXC983203:DXD983203 EGY983203:EGZ983203 EQU983203:EQV983203 FAQ983203:FAR983203 FKM983203:FKN983203 FUI983203:FUJ983203 GEE983203:GEF983203 GOA983203:GOB983203 GXW983203:GXX983203 HHS983203:HHT983203 HRO983203:HRP983203 IBK983203:IBL983203 ILG983203:ILH983203 IVC983203:IVD983203 JEY983203:JEZ983203 JOU983203:JOV983203 JYQ983203:JYR983203 KIM983203:KIN983203 KSI983203:KSJ983203 LCE983203:LCF983203 LMA983203:LMB983203 LVW983203:LVX983203 MFS983203:MFT983203 MPO983203:MPP983203 MZK983203:MZL983203 NJG983203:NJH983203 NTC983203:NTD983203 OCY983203:OCZ983203 OMU983203:OMV983203 OWQ983203:OWR983203 PGM983203:PGN983203 PQI983203:PQJ983203 QAE983203:QAF983203 QKA983203:QKB983203 QTW983203:QTX983203 RDS983203:RDT983203 RNO983203:RNP983203 RXK983203:RXL983203 SHG983203:SHH983203 SRC983203:SRD983203 TAY983203:TAZ983203 TKU983203:TKV983203 TUQ983203:TUR983203 UEM983203:UEN983203 UOI983203:UOJ983203 UYE983203:UYF983203 VIA983203:VIB983203 VRW983203:VRX983203 WBS983203:WBT983203 WLO983203:WLP983203 WVK983203:WVL983203 E82:E83 JA82:JA83 SW82:SW83 ACS82:ACS83 AMO82:AMO83 AWK82:AWK83 BGG82:BGG83 BQC82:BQC83 BZY82:BZY83 CJU82:CJU83 CTQ82:CTQ83 DDM82:DDM83 DNI82:DNI83 DXE82:DXE83 EHA82:EHA83 EQW82:EQW83 FAS82:FAS83 FKO82:FKO83 FUK82:FUK83 GEG82:GEG83 GOC82:GOC83 GXY82:GXY83 HHU82:HHU83 HRQ82:HRQ83 IBM82:IBM83 ILI82:ILI83 IVE82:IVE83 JFA82:JFA83 JOW82:JOW83 JYS82:JYS83 KIO82:KIO83 KSK82:KSK83 LCG82:LCG83 LMC82:LMC83 LVY82:LVY83 MFU82:MFU83 MPQ82:MPQ83 MZM82:MZM83 NJI82:NJI83 NTE82:NTE83 ODA82:ODA83 OMW82:OMW83 OWS82:OWS83 PGO82:PGO83 PQK82:PQK83 QAG82:QAG83 QKC82:QKC83 QTY82:QTY83 RDU82:RDU83 RNQ82:RNQ83 RXM82:RXM83 SHI82:SHI83 SRE82:SRE83 TBA82:TBA83 TKW82:TKW83 TUS82:TUS83 UEO82:UEO83 UOK82:UOK83 UYG82:UYG83 VIC82:VIC83 VRY82:VRY83 WBU82:WBU83 WLQ82:WLQ83 WVM82:WVM83 E65618:E65619 JA65618:JA65619 SW65618:SW65619 ACS65618:ACS65619 AMO65618:AMO65619 AWK65618:AWK65619 BGG65618:BGG65619 BQC65618:BQC65619 BZY65618:BZY65619 CJU65618:CJU65619 CTQ65618:CTQ65619 DDM65618:DDM65619 DNI65618:DNI65619 DXE65618:DXE65619 EHA65618:EHA65619 EQW65618:EQW65619 FAS65618:FAS65619 FKO65618:FKO65619 FUK65618:FUK65619 GEG65618:GEG65619 GOC65618:GOC65619 GXY65618:GXY65619 HHU65618:HHU65619 HRQ65618:HRQ65619 IBM65618:IBM65619 ILI65618:ILI65619 IVE65618:IVE65619 JFA65618:JFA65619 JOW65618:JOW65619 JYS65618:JYS65619 KIO65618:KIO65619 KSK65618:KSK65619 LCG65618:LCG65619 LMC65618:LMC65619 LVY65618:LVY65619 MFU65618:MFU65619 MPQ65618:MPQ65619 MZM65618:MZM65619 NJI65618:NJI65619 NTE65618:NTE65619 ODA65618:ODA65619 OMW65618:OMW65619 OWS65618:OWS65619 PGO65618:PGO65619 PQK65618:PQK65619 QAG65618:QAG65619 QKC65618:QKC65619 QTY65618:QTY65619 RDU65618:RDU65619 RNQ65618:RNQ65619 RXM65618:RXM65619 SHI65618:SHI65619 SRE65618:SRE65619 TBA65618:TBA65619 TKW65618:TKW65619 TUS65618:TUS65619 UEO65618:UEO65619 UOK65618:UOK65619 UYG65618:UYG65619 VIC65618:VIC65619 VRY65618:VRY65619 WBU65618:WBU65619 WLQ65618:WLQ65619 WVM65618:WVM65619 E131154:E131155 JA131154:JA131155 SW131154:SW131155 ACS131154:ACS131155 AMO131154:AMO131155 AWK131154:AWK131155 BGG131154:BGG131155 BQC131154:BQC131155 BZY131154:BZY131155 CJU131154:CJU131155 CTQ131154:CTQ131155 DDM131154:DDM131155 DNI131154:DNI131155 DXE131154:DXE131155 EHA131154:EHA131155 EQW131154:EQW131155 FAS131154:FAS131155 FKO131154:FKO131155 FUK131154:FUK131155 GEG131154:GEG131155 GOC131154:GOC131155 GXY131154:GXY131155 HHU131154:HHU131155 HRQ131154:HRQ131155 IBM131154:IBM131155 ILI131154:ILI131155 IVE131154:IVE131155 JFA131154:JFA131155 JOW131154:JOW131155 JYS131154:JYS131155 KIO131154:KIO131155 KSK131154:KSK131155 LCG131154:LCG131155 LMC131154:LMC131155 LVY131154:LVY131155 MFU131154:MFU131155 MPQ131154:MPQ131155 MZM131154:MZM131155 NJI131154:NJI131155 NTE131154:NTE131155 ODA131154:ODA131155 OMW131154:OMW131155 OWS131154:OWS131155 PGO131154:PGO131155 PQK131154:PQK131155 QAG131154:QAG131155 QKC131154:QKC131155 QTY131154:QTY131155 RDU131154:RDU131155 RNQ131154:RNQ131155 RXM131154:RXM131155 SHI131154:SHI131155 SRE131154:SRE131155 TBA131154:TBA131155 TKW131154:TKW131155 TUS131154:TUS131155 UEO131154:UEO131155 UOK131154:UOK131155 UYG131154:UYG131155 VIC131154:VIC131155 VRY131154:VRY131155 WBU131154:WBU131155 WLQ131154:WLQ131155 WVM131154:WVM131155 E196690:E196691 JA196690:JA196691 SW196690:SW196691 ACS196690:ACS196691 AMO196690:AMO196691 AWK196690:AWK196691 BGG196690:BGG196691 BQC196690:BQC196691 BZY196690:BZY196691 CJU196690:CJU196691 CTQ196690:CTQ196691 DDM196690:DDM196691 DNI196690:DNI196691 DXE196690:DXE196691 EHA196690:EHA196691 EQW196690:EQW196691 FAS196690:FAS196691 FKO196690:FKO196691 FUK196690:FUK196691 GEG196690:GEG196691 GOC196690:GOC196691 GXY196690:GXY196691 HHU196690:HHU196691 HRQ196690:HRQ196691 IBM196690:IBM196691 ILI196690:ILI196691 IVE196690:IVE196691 JFA196690:JFA196691 JOW196690:JOW196691 JYS196690:JYS196691 KIO196690:KIO196691 KSK196690:KSK196691 LCG196690:LCG196691 LMC196690:LMC196691 LVY196690:LVY196691 MFU196690:MFU196691 MPQ196690:MPQ196691 MZM196690:MZM196691 NJI196690:NJI196691 NTE196690:NTE196691 ODA196690:ODA196691 OMW196690:OMW196691 OWS196690:OWS196691 PGO196690:PGO196691 PQK196690:PQK196691 QAG196690:QAG196691 QKC196690:QKC196691 QTY196690:QTY196691 RDU196690:RDU196691 RNQ196690:RNQ196691 RXM196690:RXM196691 SHI196690:SHI196691 SRE196690:SRE196691 TBA196690:TBA196691 TKW196690:TKW196691 TUS196690:TUS196691 UEO196690:UEO196691 UOK196690:UOK196691 UYG196690:UYG196691 VIC196690:VIC196691 VRY196690:VRY196691 WBU196690:WBU196691 WLQ196690:WLQ196691 WVM196690:WVM196691 E262226:E262227 JA262226:JA262227 SW262226:SW262227 ACS262226:ACS262227 AMO262226:AMO262227 AWK262226:AWK262227 BGG262226:BGG262227 BQC262226:BQC262227 BZY262226:BZY262227 CJU262226:CJU262227 CTQ262226:CTQ262227 DDM262226:DDM262227 DNI262226:DNI262227 DXE262226:DXE262227 EHA262226:EHA262227 EQW262226:EQW262227 FAS262226:FAS262227 FKO262226:FKO262227 FUK262226:FUK262227 GEG262226:GEG262227 GOC262226:GOC262227 GXY262226:GXY262227 HHU262226:HHU262227 HRQ262226:HRQ262227 IBM262226:IBM262227 ILI262226:ILI262227 IVE262226:IVE262227 JFA262226:JFA262227 JOW262226:JOW262227 JYS262226:JYS262227 KIO262226:KIO262227 KSK262226:KSK262227 LCG262226:LCG262227 LMC262226:LMC262227 LVY262226:LVY262227 MFU262226:MFU262227 MPQ262226:MPQ262227 MZM262226:MZM262227 NJI262226:NJI262227 NTE262226:NTE262227 ODA262226:ODA262227 OMW262226:OMW262227 OWS262226:OWS262227 PGO262226:PGO262227 PQK262226:PQK262227 QAG262226:QAG262227 QKC262226:QKC262227 QTY262226:QTY262227 RDU262226:RDU262227 RNQ262226:RNQ262227 RXM262226:RXM262227 SHI262226:SHI262227 SRE262226:SRE262227 TBA262226:TBA262227 TKW262226:TKW262227 TUS262226:TUS262227 UEO262226:UEO262227 UOK262226:UOK262227 UYG262226:UYG262227 VIC262226:VIC262227 VRY262226:VRY262227 WBU262226:WBU262227 WLQ262226:WLQ262227 WVM262226:WVM262227 E327762:E327763 JA327762:JA327763 SW327762:SW327763 ACS327762:ACS327763 AMO327762:AMO327763 AWK327762:AWK327763 BGG327762:BGG327763 BQC327762:BQC327763 BZY327762:BZY327763 CJU327762:CJU327763 CTQ327762:CTQ327763 DDM327762:DDM327763 DNI327762:DNI327763 DXE327762:DXE327763 EHA327762:EHA327763 EQW327762:EQW327763 FAS327762:FAS327763 FKO327762:FKO327763 FUK327762:FUK327763 GEG327762:GEG327763 GOC327762:GOC327763 GXY327762:GXY327763 HHU327762:HHU327763 HRQ327762:HRQ327763 IBM327762:IBM327763 ILI327762:ILI327763 IVE327762:IVE327763 JFA327762:JFA327763 JOW327762:JOW327763 JYS327762:JYS327763 KIO327762:KIO327763 KSK327762:KSK327763 LCG327762:LCG327763 LMC327762:LMC327763 LVY327762:LVY327763 MFU327762:MFU327763 MPQ327762:MPQ327763 MZM327762:MZM327763 NJI327762:NJI327763 NTE327762:NTE327763 ODA327762:ODA327763 OMW327762:OMW327763 OWS327762:OWS327763 PGO327762:PGO327763 PQK327762:PQK327763 QAG327762:QAG327763 QKC327762:QKC327763 QTY327762:QTY327763 RDU327762:RDU327763 RNQ327762:RNQ327763 RXM327762:RXM327763 SHI327762:SHI327763 SRE327762:SRE327763 TBA327762:TBA327763 TKW327762:TKW327763 TUS327762:TUS327763 UEO327762:UEO327763 UOK327762:UOK327763 UYG327762:UYG327763 VIC327762:VIC327763 VRY327762:VRY327763 WBU327762:WBU327763 WLQ327762:WLQ327763 WVM327762:WVM327763 E393298:E393299 JA393298:JA393299 SW393298:SW393299 ACS393298:ACS393299 AMO393298:AMO393299 AWK393298:AWK393299 BGG393298:BGG393299 BQC393298:BQC393299 BZY393298:BZY393299 CJU393298:CJU393299 CTQ393298:CTQ393299 DDM393298:DDM393299 DNI393298:DNI393299 DXE393298:DXE393299 EHA393298:EHA393299 EQW393298:EQW393299 FAS393298:FAS393299 FKO393298:FKO393299 FUK393298:FUK393299 GEG393298:GEG393299 GOC393298:GOC393299 GXY393298:GXY393299 HHU393298:HHU393299 HRQ393298:HRQ393299 IBM393298:IBM393299 ILI393298:ILI393299 IVE393298:IVE393299 JFA393298:JFA393299 JOW393298:JOW393299 JYS393298:JYS393299 KIO393298:KIO393299 KSK393298:KSK393299 LCG393298:LCG393299 LMC393298:LMC393299 LVY393298:LVY393299 MFU393298:MFU393299 MPQ393298:MPQ393299 MZM393298:MZM393299 NJI393298:NJI393299 NTE393298:NTE393299 ODA393298:ODA393299 OMW393298:OMW393299 OWS393298:OWS393299 PGO393298:PGO393299 PQK393298:PQK393299 QAG393298:QAG393299 QKC393298:QKC393299 QTY393298:QTY393299 RDU393298:RDU393299 RNQ393298:RNQ393299 RXM393298:RXM393299 SHI393298:SHI393299 SRE393298:SRE393299 TBA393298:TBA393299 TKW393298:TKW393299 TUS393298:TUS393299 UEO393298:UEO393299 UOK393298:UOK393299 UYG393298:UYG393299 VIC393298:VIC393299 VRY393298:VRY393299 WBU393298:WBU393299 WLQ393298:WLQ393299 WVM393298:WVM393299 E458834:E458835 JA458834:JA458835 SW458834:SW458835 ACS458834:ACS458835 AMO458834:AMO458835 AWK458834:AWK458835 BGG458834:BGG458835 BQC458834:BQC458835 BZY458834:BZY458835 CJU458834:CJU458835 CTQ458834:CTQ458835 DDM458834:DDM458835 DNI458834:DNI458835 DXE458834:DXE458835 EHA458834:EHA458835 EQW458834:EQW458835 FAS458834:FAS458835 FKO458834:FKO458835 FUK458834:FUK458835 GEG458834:GEG458835 GOC458834:GOC458835 GXY458834:GXY458835 HHU458834:HHU458835 HRQ458834:HRQ458835 IBM458834:IBM458835 ILI458834:ILI458835 IVE458834:IVE458835 JFA458834:JFA458835 JOW458834:JOW458835 JYS458834:JYS458835 KIO458834:KIO458835 KSK458834:KSK458835 LCG458834:LCG458835 LMC458834:LMC458835 LVY458834:LVY458835 MFU458834:MFU458835 MPQ458834:MPQ458835 MZM458834:MZM458835 NJI458834:NJI458835 NTE458834:NTE458835 ODA458834:ODA458835 OMW458834:OMW458835 OWS458834:OWS458835 PGO458834:PGO458835 PQK458834:PQK458835 QAG458834:QAG458835 QKC458834:QKC458835 QTY458834:QTY458835 RDU458834:RDU458835 RNQ458834:RNQ458835 RXM458834:RXM458835 SHI458834:SHI458835 SRE458834:SRE458835 TBA458834:TBA458835 TKW458834:TKW458835 TUS458834:TUS458835 UEO458834:UEO458835 UOK458834:UOK458835 UYG458834:UYG458835 VIC458834:VIC458835 VRY458834:VRY458835 WBU458834:WBU458835 WLQ458834:WLQ458835 WVM458834:WVM458835 E524370:E524371 JA524370:JA524371 SW524370:SW524371 ACS524370:ACS524371 AMO524370:AMO524371 AWK524370:AWK524371 BGG524370:BGG524371 BQC524370:BQC524371 BZY524370:BZY524371 CJU524370:CJU524371 CTQ524370:CTQ524371 DDM524370:DDM524371 DNI524370:DNI524371 DXE524370:DXE524371 EHA524370:EHA524371 EQW524370:EQW524371 FAS524370:FAS524371 FKO524370:FKO524371 FUK524370:FUK524371 GEG524370:GEG524371 GOC524370:GOC524371 GXY524370:GXY524371 HHU524370:HHU524371 HRQ524370:HRQ524371 IBM524370:IBM524371 ILI524370:ILI524371 IVE524370:IVE524371 JFA524370:JFA524371 JOW524370:JOW524371 JYS524370:JYS524371 KIO524370:KIO524371 KSK524370:KSK524371 LCG524370:LCG524371 LMC524370:LMC524371 LVY524370:LVY524371 MFU524370:MFU524371 MPQ524370:MPQ524371 MZM524370:MZM524371 NJI524370:NJI524371 NTE524370:NTE524371 ODA524370:ODA524371 OMW524370:OMW524371 OWS524370:OWS524371 PGO524370:PGO524371 PQK524370:PQK524371 QAG524370:QAG524371 QKC524370:QKC524371 QTY524370:QTY524371 RDU524370:RDU524371 RNQ524370:RNQ524371 RXM524370:RXM524371 SHI524370:SHI524371 SRE524370:SRE524371 TBA524370:TBA524371 TKW524370:TKW524371 TUS524370:TUS524371 UEO524370:UEO524371 UOK524370:UOK524371 UYG524370:UYG524371 VIC524370:VIC524371 VRY524370:VRY524371 WBU524370:WBU524371 WLQ524370:WLQ524371 WVM524370:WVM524371 E589906:E589907 JA589906:JA589907 SW589906:SW589907 ACS589906:ACS589907 AMO589906:AMO589907 AWK589906:AWK589907 BGG589906:BGG589907 BQC589906:BQC589907 BZY589906:BZY589907 CJU589906:CJU589907 CTQ589906:CTQ589907 DDM589906:DDM589907 DNI589906:DNI589907 DXE589906:DXE589907 EHA589906:EHA589907 EQW589906:EQW589907 FAS589906:FAS589907 FKO589906:FKO589907 FUK589906:FUK589907 GEG589906:GEG589907 GOC589906:GOC589907 GXY589906:GXY589907 HHU589906:HHU589907 HRQ589906:HRQ589907 IBM589906:IBM589907 ILI589906:ILI589907 IVE589906:IVE589907 JFA589906:JFA589907 JOW589906:JOW589907 JYS589906:JYS589907 KIO589906:KIO589907 KSK589906:KSK589907 LCG589906:LCG589907 LMC589906:LMC589907 LVY589906:LVY589907 MFU589906:MFU589907 MPQ589906:MPQ589907 MZM589906:MZM589907 NJI589906:NJI589907 NTE589906:NTE589907 ODA589906:ODA589907 OMW589906:OMW589907 OWS589906:OWS589907 PGO589906:PGO589907 PQK589906:PQK589907 QAG589906:QAG589907 QKC589906:QKC589907 QTY589906:QTY589907 RDU589906:RDU589907 RNQ589906:RNQ589907 RXM589906:RXM589907 SHI589906:SHI589907 SRE589906:SRE589907 TBA589906:TBA589907 TKW589906:TKW589907 TUS589906:TUS589907 UEO589906:UEO589907 UOK589906:UOK589907 UYG589906:UYG589907 VIC589906:VIC589907 VRY589906:VRY589907 WBU589906:WBU589907 WLQ589906:WLQ589907 WVM589906:WVM589907 E655442:E655443 JA655442:JA655443 SW655442:SW655443 ACS655442:ACS655443 AMO655442:AMO655443 AWK655442:AWK655443 BGG655442:BGG655443 BQC655442:BQC655443 BZY655442:BZY655443 CJU655442:CJU655443 CTQ655442:CTQ655443 DDM655442:DDM655443 DNI655442:DNI655443 DXE655442:DXE655443 EHA655442:EHA655443 EQW655442:EQW655443 FAS655442:FAS655443 FKO655442:FKO655443 FUK655442:FUK655443 GEG655442:GEG655443 GOC655442:GOC655443 GXY655442:GXY655443 HHU655442:HHU655443 HRQ655442:HRQ655443 IBM655442:IBM655443 ILI655442:ILI655443 IVE655442:IVE655443 JFA655442:JFA655443 JOW655442:JOW655443 JYS655442:JYS655443 KIO655442:KIO655443 KSK655442:KSK655443 LCG655442:LCG655443 LMC655442:LMC655443 LVY655442:LVY655443 MFU655442:MFU655443 MPQ655442:MPQ655443 MZM655442:MZM655443 NJI655442:NJI655443 NTE655442:NTE655443 ODA655442:ODA655443 OMW655442:OMW655443 OWS655442:OWS655443 PGO655442:PGO655443 PQK655442:PQK655443 QAG655442:QAG655443 QKC655442:QKC655443 QTY655442:QTY655443 RDU655442:RDU655443 RNQ655442:RNQ655443 RXM655442:RXM655443 SHI655442:SHI655443 SRE655442:SRE655443 TBA655442:TBA655443 TKW655442:TKW655443 TUS655442:TUS655443 UEO655442:UEO655443 UOK655442:UOK655443 UYG655442:UYG655443 VIC655442:VIC655443 VRY655442:VRY655443 WBU655442:WBU655443 WLQ655442:WLQ655443 WVM655442:WVM655443 E720978:E720979 JA720978:JA720979 SW720978:SW720979 ACS720978:ACS720979 AMO720978:AMO720979 AWK720978:AWK720979 BGG720978:BGG720979 BQC720978:BQC720979 BZY720978:BZY720979 CJU720978:CJU720979 CTQ720978:CTQ720979 DDM720978:DDM720979 DNI720978:DNI720979 DXE720978:DXE720979 EHA720978:EHA720979 EQW720978:EQW720979 FAS720978:FAS720979 FKO720978:FKO720979 FUK720978:FUK720979 GEG720978:GEG720979 GOC720978:GOC720979 GXY720978:GXY720979 HHU720978:HHU720979 HRQ720978:HRQ720979 IBM720978:IBM720979 ILI720978:ILI720979 IVE720978:IVE720979 JFA720978:JFA720979 JOW720978:JOW720979 JYS720978:JYS720979 KIO720978:KIO720979 KSK720978:KSK720979 LCG720978:LCG720979 LMC720978:LMC720979 LVY720978:LVY720979 MFU720978:MFU720979 MPQ720978:MPQ720979 MZM720978:MZM720979 NJI720978:NJI720979 NTE720978:NTE720979 ODA720978:ODA720979 OMW720978:OMW720979 OWS720978:OWS720979 PGO720978:PGO720979 PQK720978:PQK720979 QAG720978:QAG720979 QKC720978:QKC720979 QTY720978:QTY720979 RDU720978:RDU720979 RNQ720978:RNQ720979 RXM720978:RXM720979 SHI720978:SHI720979 SRE720978:SRE720979 TBA720978:TBA720979 TKW720978:TKW720979 TUS720978:TUS720979 UEO720978:UEO720979 UOK720978:UOK720979 UYG720978:UYG720979 VIC720978:VIC720979 VRY720978:VRY720979 WBU720978:WBU720979 WLQ720978:WLQ720979 WVM720978:WVM720979 E786514:E786515 JA786514:JA786515 SW786514:SW786515 ACS786514:ACS786515 AMO786514:AMO786515 AWK786514:AWK786515 BGG786514:BGG786515 BQC786514:BQC786515 BZY786514:BZY786515 CJU786514:CJU786515 CTQ786514:CTQ786515 DDM786514:DDM786515 DNI786514:DNI786515 DXE786514:DXE786515 EHA786514:EHA786515 EQW786514:EQW786515 FAS786514:FAS786515 FKO786514:FKO786515 FUK786514:FUK786515 GEG786514:GEG786515 GOC786514:GOC786515 GXY786514:GXY786515 HHU786514:HHU786515 HRQ786514:HRQ786515 IBM786514:IBM786515 ILI786514:ILI786515 IVE786514:IVE786515 JFA786514:JFA786515 JOW786514:JOW786515 JYS786514:JYS786515 KIO786514:KIO786515 KSK786514:KSK786515 LCG786514:LCG786515 LMC786514:LMC786515 LVY786514:LVY786515 MFU786514:MFU786515 MPQ786514:MPQ786515 MZM786514:MZM786515 NJI786514:NJI786515 NTE786514:NTE786515 ODA786514:ODA786515 OMW786514:OMW786515 OWS786514:OWS786515 PGO786514:PGO786515 PQK786514:PQK786515 QAG786514:QAG786515 QKC786514:QKC786515 QTY786514:QTY786515 RDU786514:RDU786515 RNQ786514:RNQ786515 RXM786514:RXM786515 SHI786514:SHI786515 SRE786514:SRE786515 TBA786514:TBA786515 TKW786514:TKW786515 TUS786514:TUS786515 UEO786514:UEO786515 UOK786514:UOK786515 UYG786514:UYG786515 VIC786514:VIC786515 VRY786514:VRY786515 WBU786514:WBU786515 WLQ786514:WLQ786515 WVM786514:WVM786515 E852050:E852051 JA852050:JA852051 SW852050:SW852051 ACS852050:ACS852051 AMO852050:AMO852051 AWK852050:AWK852051 BGG852050:BGG852051 BQC852050:BQC852051 BZY852050:BZY852051 CJU852050:CJU852051 CTQ852050:CTQ852051 DDM852050:DDM852051 DNI852050:DNI852051 DXE852050:DXE852051 EHA852050:EHA852051 EQW852050:EQW852051 FAS852050:FAS852051 FKO852050:FKO852051 FUK852050:FUK852051 GEG852050:GEG852051 GOC852050:GOC852051 GXY852050:GXY852051 HHU852050:HHU852051 HRQ852050:HRQ852051 IBM852050:IBM852051 ILI852050:ILI852051 IVE852050:IVE852051 JFA852050:JFA852051 JOW852050:JOW852051 JYS852050:JYS852051 KIO852050:KIO852051 KSK852050:KSK852051 LCG852050:LCG852051 LMC852050:LMC852051 LVY852050:LVY852051 MFU852050:MFU852051 MPQ852050:MPQ852051 MZM852050:MZM852051 NJI852050:NJI852051 NTE852050:NTE852051 ODA852050:ODA852051 OMW852050:OMW852051 OWS852050:OWS852051 PGO852050:PGO852051 PQK852050:PQK852051 QAG852050:QAG852051 QKC852050:QKC852051 QTY852050:QTY852051 RDU852050:RDU852051 RNQ852050:RNQ852051 RXM852050:RXM852051 SHI852050:SHI852051 SRE852050:SRE852051 TBA852050:TBA852051 TKW852050:TKW852051 TUS852050:TUS852051 UEO852050:UEO852051 UOK852050:UOK852051 UYG852050:UYG852051 VIC852050:VIC852051 VRY852050:VRY852051 WBU852050:WBU852051 WLQ852050:WLQ852051 WVM852050:WVM852051 E917586:E917587 JA917586:JA917587 SW917586:SW917587 ACS917586:ACS917587 AMO917586:AMO917587 AWK917586:AWK917587 BGG917586:BGG917587 BQC917586:BQC917587 BZY917586:BZY917587 CJU917586:CJU917587 CTQ917586:CTQ917587 DDM917586:DDM917587 DNI917586:DNI917587 DXE917586:DXE917587 EHA917586:EHA917587 EQW917586:EQW917587 FAS917586:FAS917587 FKO917586:FKO917587 FUK917586:FUK917587 GEG917586:GEG917587 GOC917586:GOC917587 GXY917586:GXY917587 HHU917586:HHU917587 HRQ917586:HRQ917587 IBM917586:IBM917587 ILI917586:ILI917587 IVE917586:IVE917587 JFA917586:JFA917587 JOW917586:JOW917587 JYS917586:JYS917587 KIO917586:KIO917587 KSK917586:KSK917587 LCG917586:LCG917587 LMC917586:LMC917587 LVY917586:LVY917587 MFU917586:MFU917587 MPQ917586:MPQ917587 MZM917586:MZM917587 NJI917586:NJI917587 NTE917586:NTE917587 ODA917586:ODA917587 OMW917586:OMW917587 OWS917586:OWS917587 PGO917586:PGO917587 PQK917586:PQK917587 QAG917586:QAG917587 QKC917586:QKC917587 QTY917586:QTY917587 RDU917586:RDU917587 RNQ917586:RNQ917587 RXM917586:RXM917587 SHI917586:SHI917587 SRE917586:SRE917587 TBA917586:TBA917587 TKW917586:TKW917587 TUS917586:TUS917587 UEO917586:UEO917587 UOK917586:UOK917587 UYG917586:UYG917587 VIC917586:VIC917587 VRY917586:VRY917587 WBU917586:WBU917587 WLQ917586:WLQ917587 WVM917586:WVM917587 E983122:E983123 JA983122:JA983123 SW983122:SW983123 ACS983122:ACS983123 AMO983122:AMO983123 AWK983122:AWK983123 BGG983122:BGG983123 BQC983122:BQC983123 BZY983122:BZY983123 CJU983122:CJU983123 CTQ983122:CTQ983123 DDM983122:DDM983123 DNI983122:DNI983123 DXE983122:DXE983123 EHA983122:EHA983123 EQW983122:EQW983123 FAS983122:FAS983123 FKO983122:FKO983123 FUK983122:FUK983123 GEG983122:GEG983123 GOC983122:GOC983123 GXY983122:GXY983123 HHU983122:HHU983123 HRQ983122:HRQ983123 IBM983122:IBM983123 ILI983122:ILI983123 IVE983122:IVE983123 JFA983122:JFA983123 JOW983122:JOW983123 JYS983122:JYS983123 KIO983122:KIO983123 KSK983122:KSK983123 LCG983122:LCG983123 LMC983122:LMC983123 LVY983122:LVY983123 MFU983122:MFU983123 MPQ983122:MPQ983123 MZM983122:MZM983123 NJI983122:NJI983123 NTE983122:NTE983123 ODA983122:ODA983123 OMW983122:OMW983123 OWS983122:OWS983123 PGO983122:PGO983123 PQK983122:PQK983123 QAG983122:QAG983123 QKC983122:QKC983123 QTY983122:QTY983123 RDU983122:RDU983123 RNQ983122:RNQ983123 RXM983122:RXM983123 SHI983122:SHI983123 SRE983122:SRE983123 TBA983122:TBA983123 TKW983122:TKW983123 TUS983122:TUS983123 UEO983122:UEO983123 UOK983122:UOK983123 UYG983122:UYG983123 VIC983122:VIC983123 VRY983122:VRY983123 WBU983122:WBU983123 WLQ983122:WLQ983123 WVM983122:WVM983123 C179:D179 IY179:IZ179 SU179:SV179 ACQ179:ACR179 AMM179:AMN179 AWI179:AWJ179 BGE179:BGF179 BQA179:BQB179 BZW179:BZX179 CJS179:CJT179 CTO179:CTP179 DDK179:DDL179 DNG179:DNH179 DXC179:DXD179 EGY179:EGZ179 EQU179:EQV179 FAQ179:FAR179 FKM179:FKN179 FUI179:FUJ179 GEE179:GEF179 GOA179:GOB179 GXW179:GXX179 HHS179:HHT179 HRO179:HRP179 IBK179:IBL179 ILG179:ILH179 IVC179:IVD179 JEY179:JEZ179 JOU179:JOV179 JYQ179:JYR179 KIM179:KIN179 KSI179:KSJ179 LCE179:LCF179 LMA179:LMB179 LVW179:LVX179 MFS179:MFT179 MPO179:MPP179 MZK179:MZL179 NJG179:NJH179 NTC179:NTD179 OCY179:OCZ179 OMU179:OMV179 OWQ179:OWR179 PGM179:PGN179 PQI179:PQJ179 QAE179:QAF179 QKA179:QKB179 QTW179:QTX179 RDS179:RDT179 RNO179:RNP179 RXK179:RXL179 SHG179:SHH179 SRC179:SRD179 TAY179:TAZ179 TKU179:TKV179 TUQ179:TUR179 UEM179:UEN179 UOI179:UOJ179 UYE179:UYF179 VIA179:VIB179 VRW179:VRX179 WBS179:WBT179 WLO179:WLP179 WVK179:WVL179 C65715:D65715 IY65715:IZ65715 SU65715:SV65715 ACQ65715:ACR65715 AMM65715:AMN65715 AWI65715:AWJ65715 BGE65715:BGF65715 BQA65715:BQB65715 BZW65715:BZX65715 CJS65715:CJT65715 CTO65715:CTP65715 DDK65715:DDL65715 DNG65715:DNH65715 DXC65715:DXD65715 EGY65715:EGZ65715 EQU65715:EQV65715 FAQ65715:FAR65715 FKM65715:FKN65715 FUI65715:FUJ65715 GEE65715:GEF65715 GOA65715:GOB65715 GXW65715:GXX65715 HHS65715:HHT65715 HRO65715:HRP65715 IBK65715:IBL65715 ILG65715:ILH65715 IVC65715:IVD65715 JEY65715:JEZ65715 JOU65715:JOV65715 JYQ65715:JYR65715 KIM65715:KIN65715 KSI65715:KSJ65715 LCE65715:LCF65715 LMA65715:LMB65715 LVW65715:LVX65715 MFS65715:MFT65715 MPO65715:MPP65715 MZK65715:MZL65715 NJG65715:NJH65715 NTC65715:NTD65715 OCY65715:OCZ65715 OMU65715:OMV65715 OWQ65715:OWR65715 PGM65715:PGN65715 PQI65715:PQJ65715 QAE65715:QAF65715 QKA65715:QKB65715 QTW65715:QTX65715 RDS65715:RDT65715 RNO65715:RNP65715 RXK65715:RXL65715 SHG65715:SHH65715 SRC65715:SRD65715 TAY65715:TAZ65715 TKU65715:TKV65715 TUQ65715:TUR65715 UEM65715:UEN65715 UOI65715:UOJ65715 UYE65715:UYF65715 VIA65715:VIB65715 VRW65715:VRX65715 WBS65715:WBT65715 WLO65715:WLP65715 WVK65715:WVL65715 C131251:D131251 IY131251:IZ131251 SU131251:SV131251 ACQ131251:ACR131251 AMM131251:AMN131251 AWI131251:AWJ131251 BGE131251:BGF131251 BQA131251:BQB131251 BZW131251:BZX131251 CJS131251:CJT131251 CTO131251:CTP131251 DDK131251:DDL131251 DNG131251:DNH131251 DXC131251:DXD131251 EGY131251:EGZ131251 EQU131251:EQV131251 FAQ131251:FAR131251 FKM131251:FKN131251 FUI131251:FUJ131251 GEE131251:GEF131251 GOA131251:GOB131251 GXW131251:GXX131251 HHS131251:HHT131251 HRO131251:HRP131251 IBK131251:IBL131251 ILG131251:ILH131251 IVC131251:IVD131251 JEY131251:JEZ131251 JOU131251:JOV131251 JYQ131251:JYR131251 KIM131251:KIN131251 KSI131251:KSJ131251 LCE131251:LCF131251 LMA131251:LMB131251 LVW131251:LVX131251 MFS131251:MFT131251 MPO131251:MPP131251 MZK131251:MZL131251 NJG131251:NJH131251 NTC131251:NTD131251 OCY131251:OCZ131251 OMU131251:OMV131251 OWQ131251:OWR131251 PGM131251:PGN131251 PQI131251:PQJ131251 QAE131251:QAF131251 QKA131251:QKB131251 QTW131251:QTX131251 RDS131251:RDT131251 RNO131251:RNP131251 RXK131251:RXL131251 SHG131251:SHH131251 SRC131251:SRD131251 TAY131251:TAZ131251 TKU131251:TKV131251 TUQ131251:TUR131251 UEM131251:UEN131251 UOI131251:UOJ131251 UYE131251:UYF131251 VIA131251:VIB131251 VRW131251:VRX131251 WBS131251:WBT131251 WLO131251:WLP131251 WVK131251:WVL131251 C196787:D196787 IY196787:IZ196787 SU196787:SV196787 ACQ196787:ACR196787 AMM196787:AMN196787 AWI196787:AWJ196787 BGE196787:BGF196787 BQA196787:BQB196787 BZW196787:BZX196787 CJS196787:CJT196787 CTO196787:CTP196787 DDK196787:DDL196787 DNG196787:DNH196787 DXC196787:DXD196787 EGY196787:EGZ196787 EQU196787:EQV196787 FAQ196787:FAR196787 FKM196787:FKN196787 FUI196787:FUJ196787 GEE196787:GEF196787 GOA196787:GOB196787 GXW196787:GXX196787 HHS196787:HHT196787 HRO196787:HRP196787 IBK196787:IBL196787 ILG196787:ILH196787 IVC196787:IVD196787 JEY196787:JEZ196787 JOU196787:JOV196787 JYQ196787:JYR196787 KIM196787:KIN196787 KSI196787:KSJ196787 LCE196787:LCF196787 LMA196787:LMB196787 LVW196787:LVX196787 MFS196787:MFT196787 MPO196787:MPP196787 MZK196787:MZL196787 NJG196787:NJH196787 NTC196787:NTD196787 OCY196787:OCZ196787 OMU196787:OMV196787 OWQ196787:OWR196787 PGM196787:PGN196787 PQI196787:PQJ196787 QAE196787:QAF196787 QKA196787:QKB196787 QTW196787:QTX196787 RDS196787:RDT196787 RNO196787:RNP196787 RXK196787:RXL196787 SHG196787:SHH196787 SRC196787:SRD196787 TAY196787:TAZ196787 TKU196787:TKV196787 TUQ196787:TUR196787 UEM196787:UEN196787 UOI196787:UOJ196787 UYE196787:UYF196787 VIA196787:VIB196787 VRW196787:VRX196787 WBS196787:WBT196787 WLO196787:WLP196787 WVK196787:WVL196787 C262323:D262323 IY262323:IZ262323 SU262323:SV262323 ACQ262323:ACR262323 AMM262323:AMN262323 AWI262323:AWJ262323 BGE262323:BGF262323 BQA262323:BQB262323 BZW262323:BZX262323 CJS262323:CJT262323 CTO262323:CTP262323 DDK262323:DDL262323 DNG262323:DNH262323 DXC262323:DXD262323 EGY262323:EGZ262323 EQU262323:EQV262323 FAQ262323:FAR262323 FKM262323:FKN262323 FUI262323:FUJ262323 GEE262323:GEF262323 GOA262323:GOB262323 GXW262323:GXX262323 HHS262323:HHT262323 HRO262323:HRP262323 IBK262323:IBL262323 ILG262323:ILH262323 IVC262323:IVD262323 JEY262323:JEZ262323 JOU262323:JOV262323 JYQ262323:JYR262323 KIM262323:KIN262323 KSI262323:KSJ262323 LCE262323:LCF262323 LMA262323:LMB262323 LVW262323:LVX262323 MFS262323:MFT262323 MPO262323:MPP262323 MZK262323:MZL262323 NJG262323:NJH262323 NTC262323:NTD262323 OCY262323:OCZ262323 OMU262323:OMV262323 OWQ262323:OWR262323 PGM262323:PGN262323 PQI262323:PQJ262323 QAE262323:QAF262323 QKA262323:QKB262323 QTW262323:QTX262323 RDS262323:RDT262323 RNO262323:RNP262323 RXK262323:RXL262323 SHG262323:SHH262323 SRC262323:SRD262323 TAY262323:TAZ262323 TKU262323:TKV262323 TUQ262323:TUR262323 UEM262323:UEN262323 UOI262323:UOJ262323 UYE262323:UYF262323 VIA262323:VIB262323 VRW262323:VRX262323 WBS262323:WBT262323 WLO262323:WLP262323 WVK262323:WVL262323 C327859:D327859 IY327859:IZ327859 SU327859:SV327859 ACQ327859:ACR327859 AMM327859:AMN327859 AWI327859:AWJ327859 BGE327859:BGF327859 BQA327859:BQB327859 BZW327859:BZX327859 CJS327859:CJT327859 CTO327859:CTP327859 DDK327859:DDL327859 DNG327859:DNH327859 DXC327859:DXD327859 EGY327859:EGZ327859 EQU327859:EQV327859 FAQ327859:FAR327859 FKM327859:FKN327859 FUI327859:FUJ327859 GEE327859:GEF327859 GOA327859:GOB327859 GXW327859:GXX327859 HHS327859:HHT327859 HRO327859:HRP327859 IBK327859:IBL327859 ILG327859:ILH327859 IVC327859:IVD327859 JEY327859:JEZ327859 JOU327859:JOV327859 JYQ327859:JYR327859 KIM327859:KIN327859 KSI327859:KSJ327859 LCE327859:LCF327859 LMA327859:LMB327859 LVW327859:LVX327859 MFS327859:MFT327859 MPO327859:MPP327859 MZK327859:MZL327859 NJG327859:NJH327859 NTC327859:NTD327859 OCY327859:OCZ327859 OMU327859:OMV327859 OWQ327859:OWR327859 PGM327859:PGN327859 PQI327859:PQJ327859 QAE327859:QAF327859 QKA327859:QKB327859 QTW327859:QTX327859 RDS327859:RDT327859 RNO327859:RNP327859 RXK327859:RXL327859 SHG327859:SHH327859 SRC327859:SRD327859 TAY327859:TAZ327859 TKU327859:TKV327859 TUQ327859:TUR327859 UEM327859:UEN327859 UOI327859:UOJ327859 UYE327859:UYF327859 VIA327859:VIB327859 VRW327859:VRX327859 WBS327859:WBT327859 WLO327859:WLP327859 WVK327859:WVL327859 C393395:D393395 IY393395:IZ393395 SU393395:SV393395 ACQ393395:ACR393395 AMM393395:AMN393395 AWI393395:AWJ393395 BGE393395:BGF393395 BQA393395:BQB393395 BZW393395:BZX393395 CJS393395:CJT393395 CTO393395:CTP393395 DDK393395:DDL393395 DNG393395:DNH393395 DXC393395:DXD393395 EGY393395:EGZ393395 EQU393395:EQV393395 FAQ393395:FAR393395 FKM393395:FKN393395 FUI393395:FUJ393395 GEE393395:GEF393395 GOA393395:GOB393395 GXW393395:GXX393395 HHS393395:HHT393395 HRO393395:HRP393395 IBK393395:IBL393395 ILG393395:ILH393395 IVC393395:IVD393395 JEY393395:JEZ393395 JOU393395:JOV393395 JYQ393395:JYR393395 KIM393395:KIN393395 KSI393395:KSJ393395 LCE393395:LCF393395 LMA393395:LMB393395 LVW393395:LVX393395 MFS393395:MFT393395 MPO393395:MPP393395 MZK393395:MZL393395 NJG393395:NJH393395 NTC393395:NTD393395 OCY393395:OCZ393395 OMU393395:OMV393395 OWQ393395:OWR393395 PGM393395:PGN393395 PQI393395:PQJ393395 QAE393395:QAF393395 QKA393395:QKB393395 QTW393395:QTX393395 RDS393395:RDT393395 RNO393395:RNP393395 RXK393395:RXL393395 SHG393395:SHH393395 SRC393395:SRD393395 TAY393395:TAZ393395 TKU393395:TKV393395 TUQ393395:TUR393395 UEM393395:UEN393395 UOI393395:UOJ393395 UYE393395:UYF393395 VIA393395:VIB393395 VRW393395:VRX393395 WBS393395:WBT393395 WLO393395:WLP393395 WVK393395:WVL393395 C458931:D458931 IY458931:IZ458931 SU458931:SV458931 ACQ458931:ACR458931 AMM458931:AMN458931 AWI458931:AWJ458931 BGE458931:BGF458931 BQA458931:BQB458931 BZW458931:BZX458931 CJS458931:CJT458931 CTO458931:CTP458931 DDK458931:DDL458931 DNG458931:DNH458931 DXC458931:DXD458931 EGY458931:EGZ458931 EQU458931:EQV458931 FAQ458931:FAR458931 FKM458931:FKN458931 FUI458931:FUJ458931 GEE458931:GEF458931 GOA458931:GOB458931 GXW458931:GXX458931 HHS458931:HHT458931 HRO458931:HRP458931 IBK458931:IBL458931 ILG458931:ILH458931 IVC458931:IVD458931 JEY458931:JEZ458931 JOU458931:JOV458931 JYQ458931:JYR458931 KIM458931:KIN458931 KSI458931:KSJ458931 LCE458931:LCF458931 LMA458931:LMB458931 LVW458931:LVX458931 MFS458931:MFT458931 MPO458931:MPP458931 MZK458931:MZL458931 NJG458931:NJH458931 NTC458931:NTD458931 OCY458931:OCZ458931 OMU458931:OMV458931 OWQ458931:OWR458931 PGM458931:PGN458931 PQI458931:PQJ458931 QAE458931:QAF458931 QKA458931:QKB458931 QTW458931:QTX458931 RDS458931:RDT458931 RNO458931:RNP458931 RXK458931:RXL458931 SHG458931:SHH458931 SRC458931:SRD458931 TAY458931:TAZ458931 TKU458931:TKV458931 TUQ458931:TUR458931 UEM458931:UEN458931 UOI458931:UOJ458931 UYE458931:UYF458931 VIA458931:VIB458931 VRW458931:VRX458931 WBS458931:WBT458931 WLO458931:WLP458931 WVK458931:WVL458931 C524467:D524467 IY524467:IZ524467 SU524467:SV524467 ACQ524467:ACR524467 AMM524467:AMN524467 AWI524467:AWJ524467 BGE524467:BGF524467 BQA524467:BQB524467 BZW524467:BZX524467 CJS524467:CJT524467 CTO524467:CTP524467 DDK524467:DDL524467 DNG524467:DNH524467 DXC524467:DXD524467 EGY524467:EGZ524467 EQU524467:EQV524467 FAQ524467:FAR524467 FKM524467:FKN524467 FUI524467:FUJ524467 GEE524467:GEF524467 GOA524467:GOB524467 GXW524467:GXX524467 HHS524467:HHT524467 HRO524467:HRP524467 IBK524467:IBL524467 ILG524467:ILH524467 IVC524467:IVD524467 JEY524467:JEZ524467 JOU524467:JOV524467 JYQ524467:JYR524467 KIM524467:KIN524467 KSI524467:KSJ524467 LCE524467:LCF524467 LMA524467:LMB524467 LVW524467:LVX524467 MFS524467:MFT524467 MPO524467:MPP524467 MZK524467:MZL524467 NJG524467:NJH524467 NTC524467:NTD524467 OCY524467:OCZ524467 OMU524467:OMV524467 OWQ524467:OWR524467 PGM524467:PGN524467 PQI524467:PQJ524467 QAE524467:QAF524467 QKA524467:QKB524467 QTW524467:QTX524467 RDS524467:RDT524467 RNO524467:RNP524467 RXK524467:RXL524467 SHG524467:SHH524467 SRC524467:SRD524467 TAY524467:TAZ524467 TKU524467:TKV524467 TUQ524467:TUR524467 UEM524467:UEN524467 UOI524467:UOJ524467 UYE524467:UYF524467 VIA524467:VIB524467 VRW524467:VRX524467 WBS524467:WBT524467 WLO524467:WLP524467 WVK524467:WVL524467 C590003:D590003 IY590003:IZ590003 SU590003:SV590003 ACQ590003:ACR590003 AMM590003:AMN590003 AWI590003:AWJ590003 BGE590003:BGF590003 BQA590003:BQB590003 BZW590003:BZX590003 CJS590003:CJT590003 CTO590003:CTP590003 DDK590003:DDL590003 DNG590003:DNH590003 DXC590003:DXD590003 EGY590003:EGZ590003 EQU590003:EQV590003 FAQ590003:FAR590003 FKM590003:FKN590003 FUI590003:FUJ590003 GEE590003:GEF590003 GOA590003:GOB590003 GXW590003:GXX590003 HHS590003:HHT590003 HRO590003:HRP590003 IBK590003:IBL590003 ILG590003:ILH590003 IVC590003:IVD590003 JEY590003:JEZ590003 JOU590003:JOV590003 JYQ590003:JYR590003 KIM590003:KIN590003 KSI590003:KSJ590003 LCE590003:LCF590003 LMA590003:LMB590003 LVW590003:LVX590003 MFS590003:MFT590003 MPO590003:MPP590003 MZK590003:MZL590003 NJG590003:NJH590003 NTC590003:NTD590003 OCY590003:OCZ590003 OMU590003:OMV590003 OWQ590003:OWR590003 PGM590003:PGN590003 PQI590003:PQJ590003 QAE590003:QAF590003 QKA590003:QKB590003 QTW590003:QTX590003 RDS590003:RDT590003 RNO590003:RNP590003 RXK590003:RXL590003 SHG590003:SHH590003 SRC590003:SRD590003 TAY590003:TAZ590003 TKU590003:TKV590003 TUQ590003:TUR590003 UEM590003:UEN590003 UOI590003:UOJ590003 UYE590003:UYF590003 VIA590003:VIB590003 VRW590003:VRX590003 WBS590003:WBT590003 WLO590003:WLP590003 WVK590003:WVL590003 C655539:D655539 IY655539:IZ655539 SU655539:SV655539 ACQ655539:ACR655539 AMM655539:AMN655539 AWI655539:AWJ655539 BGE655539:BGF655539 BQA655539:BQB655539 BZW655539:BZX655539 CJS655539:CJT655539 CTO655539:CTP655539 DDK655539:DDL655539 DNG655539:DNH655539 DXC655539:DXD655539 EGY655539:EGZ655539 EQU655539:EQV655539 FAQ655539:FAR655539 FKM655539:FKN655539 FUI655539:FUJ655539 GEE655539:GEF655539 GOA655539:GOB655539 GXW655539:GXX655539 HHS655539:HHT655539 HRO655539:HRP655539 IBK655539:IBL655539 ILG655539:ILH655539 IVC655539:IVD655539 JEY655539:JEZ655539 JOU655539:JOV655539 JYQ655539:JYR655539 KIM655539:KIN655539 KSI655539:KSJ655539 LCE655539:LCF655539 LMA655539:LMB655539 LVW655539:LVX655539 MFS655539:MFT655539 MPO655539:MPP655539 MZK655539:MZL655539 NJG655539:NJH655539 NTC655539:NTD655539 OCY655539:OCZ655539 OMU655539:OMV655539 OWQ655539:OWR655539 PGM655539:PGN655539 PQI655539:PQJ655539 QAE655539:QAF655539 QKA655539:QKB655539 QTW655539:QTX655539 RDS655539:RDT655539 RNO655539:RNP655539 RXK655539:RXL655539 SHG655539:SHH655539 SRC655539:SRD655539 TAY655539:TAZ655539 TKU655539:TKV655539 TUQ655539:TUR655539 UEM655539:UEN655539 UOI655539:UOJ655539 UYE655539:UYF655539 VIA655539:VIB655539 VRW655539:VRX655539 WBS655539:WBT655539 WLO655539:WLP655539 WVK655539:WVL655539 C721075:D721075 IY721075:IZ721075 SU721075:SV721075 ACQ721075:ACR721075 AMM721075:AMN721075 AWI721075:AWJ721075 BGE721075:BGF721075 BQA721075:BQB721075 BZW721075:BZX721075 CJS721075:CJT721075 CTO721075:CTP721075 DDK721075:DDL721075 DNG721075:DNH721075 DXC721075:DXD721075 EGY721075:EGZ721075 EQU721075:EQV721075 FAQ721075:FAR721075 FKM721075:FKN721075 FUI721075:FUJ721075 GEE721075:GEF721075 GOA721075:GOB721075 GXW721075:GXX721075 HHS721075:HHT721075 HRO721075:HRP721075 IBK721075:IBL721075 ILG721075:ILH721075 IVC721075:IVD721075 JEY721075:JEZ721075 JOU721075:JOV721075 JYQ721075:JYR721075 KIM721075:KIN721075 KSI721075:KSJ721075 LCE721075:LCF721075 LMA721075:LMB721075 LVW721075:LVX721075 MFS721075:MFT721075 MPO721075:MPP721075 MZK721075:MZL721075 NJG721075:NJH721075 NTC721075:NTD721075 OCY721075:OCZ721075 OMU721075:OMV721075 OWQ721075:OWR721075 PGM721075:PGN721075 PQI721075:PQJ721075 QAE721075:QAF721075 QKA721075:QKB721075 QTW721075:QTX721075 RDS721075:RDT721075 RNO721075:RNP721075 RXK721075:RXL721075 SHG721075:SHH721075 SRC721075:SRD721075 TAY721075:TAZ721075 TKU721075:TKV721075 TUQ721075:TUR721075 UEM721075:UEN721075 UOI721075:UOJ721075 UYE721075:UYF721075 VIA721075:VIB721075 VRW721075:VRX721075 WBS721075:WBT721075 WLO721075:WLP721075 WVK721075:WVL721075 C786611:D786611 IY786611:IZ786611 SU786611:SV786611 ACQ786611:ACR786611 AMM786611:AMN786611 AWI786611:AWJ786611 BGE786611:BGF786611 BQA786611:BQB786611 BZW786611:BZX786611 CJS786611:CJT786611 CTO786611:CTP786611 DDK786611:DDL786611 DNG786611:DNH786611 DXC786611:DXD786611 EGY786611:EGZ786611 EQU786611:EQV786611 FAQ786611:FAR786611 FKM786611:FKN786611 FUI786611:FUJ786611 GEE786611:GEF786611 GOA786611:GOB786611 GXW786611:GXX786611 HHS786611:HHT786611 HRO786611:HRP786611 IBK786611:IBL786611 ILG786611:ILH786611 IVC786611:IVD786611 JEY786611:JEZ786611 JOU786611:JOV786611 JYQ786611:JYR786611 KIM786611:KIN786611 KSI786611:KSJ786611 LCE786611:LCF786611 LMA786611:LMB786611 LVW786611:LVX786611 MFS786611:MFT786611 MPO786611:MPP786611 MZK786611:MZL786611 NJG786611:NJH786611 NTC786611:NTD786611 OCY786611:OCZ786611 OMU786611:OMV786611 OWQ786611:OWR786611 PGM786611:PGN786611 PQI786611:PQJ786611 QAE786611:QAF786611 QKA786611:QKB786611 QTW786611:QTX786611 RDS786611:RDT786611 RNO786611:RNP786611 RXK786611:RXL786611 SHG786611:SHH786611 SRC786611:SRD786611 TAY786611:TAZ786611 TKU786611:TKV786611 TUQ786611:TUR786611 UEM786611:UEN786611 UOI786611:UOJ786611 UYE786611:UYF786611 VIA786611:VIB786611 VRW786611:VRX786611 WBS786611:WBT786611 WLO786611:WLP786611 WVK786611:WVL786611 C852147:D852147 IY852147:IZ852147 SU852147:SV852147 ACQ852147:ACR852147 AMM852147:AMN852147 AWI852147:AWJ852147 BGE852147:BGF852147 BQA852147:BQB852147 BZW852147:BZX852147 CJS852147:CJT852147 CTO852147:CTP852147 DDK852147:DDL852147 DNG852147:DNH852147 DXC852147:DXD852147 EGY852147:EGZ852147 EQU852147:EQV852147 FAQ852147:FAR852147 FKM852147:FKN852147 FUI852147:FUJ852147 GEE852147:GEF852147 GOA852147:GOB852147 GXW852147:GXX852147 HHS852147:HHT852147 HRO852147:HRP852147 IBK852147:IBL852147 ILG852147:ILH852147 IVC852147:IVD852147 JEY852147:JEZ852147 JOU852147:JOV852147 JYQ852147:JYR852147 KIM852147:KIN852147 KSI852147:KSJ852147 LCE852147:LCF852147 LMA852147:LMB852147 LVW852147:LVX852147 MFS852147:MFT852147 MPO852147:MPP852147 MZK852147:MZL852147 NJG852147:NJH852147 NTC852147:NTD852147 OCY852147:OCZ852147 OMU852147:OMV852147 OWQ852147:OWR852147 PGM852147:PGN852147 PQI852147:PQJ852147 QAE852147:QAF852147 QKA852147:QKB852147 QTW852147:QTX852147 RDS852147:RDT852147 RNO852147:RNP852147 RXK852147:RXL852147 SHG852147:SHH852147 SRC852147:SRD852147 TAY852147:TAZ852147 TKU852147:TKV852147 TUQ852147:TUR852147 UEM852147:UEN852147 UOI852147:UOJ852147 UYE852147:UYF852147 VIA852147:VIB852147 VRW852147:VRX852147 WBS852147:WBT852147 WLO852147:WLP852147 WVK852147:WVL852147 C917683:D917683 IY917683:IZ917683 SU917683:SV917683 ACQ917683:ACR917683 AMM917683:AMN917683 AWI917683:AWJ917683 BGE917683:BGF917683 BQA917683:BQB917683 BZW917683:BZX917683 CJS917683:CJT917683 CTO917683:CTP917683 DDK917683:DDL917683 DNG917683:DNH917683 DXC917683:DXD917683 EGY917683:EGZ917683 EQU917683:EQV917683 FAQ917683:FAR917683 FKM917683:FKN917683 FUI917683:FUJ917683 GEE917683:GEF917683 GOA917683:GOB917683 GXW917683:GXX917683 HHS917683:HHT917683 HRO917683:HRP917683 IBK917683:IBL917683 ILG917683:ILH917683 IVC917683:IVD917683 JEY917683:JEZ917683 JOU917683:JOV917683 JYQ917683:JYR917683 KIM917683:KIN917683 KSI917683:KSJ917683 LCE917683:LCF917683 LMA917683:LMB917683 LVW917683:LVX917683 MFS917683:MFT917683 MPO917683:MPP917683 MZK917683:MZL917683 NJG917683:NJH917683 NTC917683:NTD917683 OCY917683:OCZ917683 OMU917683:OMV917683 OWQ917683:OWR917683 PGM917683:PGN917683 PQI917683:PQJ917683 QAE917683:QAF917683 QKA917683:QKB917683 QTW917683:QTX917683 RDS917683:RDT917683 RNO917683:RNP917683 RXK917683:RXL917683 SHG917683:SHH917683 SRC917683:SRD917683 TAY917683:TAZ917683 TKU917683:TKV917683 TUQ917683:TUR917683 UEM917683:UEN917683 UOI917683:UOJ917683 UYE917683:UYF917683 VIA917683:VIB917683 VRW917683:VRX917683 WBS917683:WBT917683 WLO917683:WLP917683 WVK917683:WVL917683 C983219:D983219 IY983219:IZ983219 SU983219:SV983219 ACQ983219:ACR983219 AMM983219:AMN983219 AWI983219:AWJ983219 BGE983219:BGF983219 BQA983219:BQB983219 BZW983219:BZX983219 CJS983219:CJT983219 CTO983219:CTP983219 DDK983219:DDL983219 DNG983219:DNH983219 DXC983219:DXD983219 EGY983219:EGZ983219 EQU983219:EQV983219 FAQ983219:FAR983219 FKM983219:FKN983219 FUI983219:FUJ983219 GEE983219:GEF983219 GOA983219:GOB983219 GXW983219:GXX983219 HHS983219:HHT983219 HRO983219:HRP983219 IBK983219:IBL983219 ILG983219:ILH983219 IVC983219:IVD983219 JEY983219:JEZ983219 JOU983219:JOV983219 JYQ983219:JYR983219 KIM983219:KIN983219 KSI983219:KSJ983219 LCE983219:LCF983219 LMA983219:LMB983219 LVW983219:LVX983219 MFS983219:MFT983219 MPO983219:MPP983219 MZK983219:MZL983219 NJG983219:NJH983219 NTC983219:NTD983219 OCY983219:OCZ983219 OMU983219:OMV983219 OWQ983219:OWR983219 PGM983219:PGN983219 PQI983219:PQJ983219 QAE983219:QAF983219 QKA983219:QKB983219 QTW983219:QTX983219 RDS983219:RDT983219 RNO983219:RNP983219 RXK983219:RXL983219 SHG983219:SHH983219 SRC983219:SRD983219 TAY983219:TAZ983219 TKU983219:TKV983219 TUQ983219:TUR983219 UEM983219:UEN983219 UOI983219:UOJ983219 UYE983219:UYF983219 VIA983219:VIB983219 VRW983219:VRX983219 WBS983219:WBT983219 WLO983219:WLP983219 WVK983219:WVL983219 E66:E67 JA66:JA67 SW66:SW67 ACS66:ACS67 AMO66:AMO67 AWK66:AWK67 BGG66:BGG67 BQC66:BQC67 BZY66:BZY67 CJU66:CJU67 CTQ66:CTQ67 DDM66:DDM67 DNI66:DNI67 DXE66:DXE67 EHA66:EHA67 EQW66:EQW67 FAS66:FAS67 FKO66:FKO67 FUK66:FUK67 GEG66:GEG67 GOC66:GOC67 GXY66:GXY67 HHU66:HHU67 HRQ66:HRQ67 IBM66:IBM67 ILI66:ILI67 IVE66:IVE67 JFA66:JFA67 JOW66:JOW67 JYS66:JYS67 KIO66:KIO67 KSK66:KSK67 LCG66:LCG67 LMC66:LMC67 LVY66:LVY67 MFU66:MFU67 MPQ66:MPQ67 MZM66:MZM67 NJI66:NJI67 NTE66:NTE67 ODA66:ODA67 OMW66:OMW67 OWS66:OWS67 PGO66:PGO67 PQK66:PQK67 QAG66:QAG67 QKC66:QKC67 QTY66:QTY67 RDU66:RDU67 RNQ66:RNQ67 RXM66:RXM67 SHI66:SHI67 SRE66:SRE67 TBA66:TBA67 TKW66:TKW67 TUS66:TUS67 UEO66:UEO67 UOK66:UOK67 UYG66:UYG67 VIC66:VIC67 VRY66:VRY67 WBU66:WBU67 WLQ66:WLQ67 WVM66:WVM67 E65602:E65603 JA65602:JA65603 SW65602:SW65603 ACS65602:ACS65603 AMO65602:AMO65603 AWK65602:AWK65603 BGG65602:BGG65603 BQC65602:BQC65603 BZY65602:BZY65603 CJU65602:CJU65603 CTQ65602:CTQ65603 DDM65602:DDM65603 DNI65602:DNI65603 DXE65602:DXE65603 EHA65602:EHA65603 EQW65602:EQW65603 FAS65602:FAS65603 FKO65602:FKO65603 FUK65602:FUK65603 GEG65602:GEG65603 GOC65602:GOC65603 GXY65602:GXY65603 HHU65602:HHU65603 HRQ65602:HRQ65603 IBM65602:IBM65603 ILI65602:ILI65603 IVE65602:IVE65603 JFA65602:JFA65603 JOW65602:JOW65603 JYS65602:JYS65603 KIO65602:KIO65603 KSK65602:KSK65603 LCG65602:LCG65603 LMC65602:LMC65603 LVY65602:LVY65603 MFU65602:MFU65603 MPQ65602:MPQ65603 MZM65602:MZM65603 NJI65602:NJI65603 NTE65602:NTE65603 ODA65602:ODA65603 OMW65602:OMW65603 OWS65602:OWS65603 PGO65602:PGO65603 PQK65602:PQK65603 QAG65602:QAG65603 QKC65602:QKC65603 QTY65602:QTY65603 RDU65602:RDU65603 RNQ65602:RNQ65603 RXM65602:RXM65603 SHI65602:SHI65603 SRE65602:SRE65603 TBA65602:TBA65603 TKW65602:TKW65603 TUS65602:TUS65603 UEO65602:UEO65603 UOK65602:UOK65603 UYG65602:UYG65603 VIC65602:VIC65603 VRY65602:VRY65603 WBU65602:WBU65603 WLQ65602:WLQ65603 WVM65602:WVM65603 E131138:E131139 JA131138:JA131139 SW131138:SW131139 ACS131138:ACS131139 AMO131138:AMO131139 AWK131138:AWK131139 BGG131138:BGG131139 BQC131138:BQC131139 BZY131138:BZY131139 CJU131138:CJU131139 CTQ131138:CTQ131139 DDM131138:DDM131139 DNI131138:DNI131139 DXE131138:DXE131139 EHA131138:EHA131139 EQW131138:EQW131139 FAS131138:FAS131139 FKO131138:FKO131139 FUK131138:FUK131139 GEG131138:GEG131139 GOC131138:GOC131139 GXY131138:GXY131139 HHU131138:HHU131139 HRQ131138:HRQ131139 IBM131138:IBM131139 ILI131138:ILI131139 IVE131138:IVE131139 JFA131138:JFA131139 JOW131138:JOW131139 JYS131138:JYS131139 KIO131138:KIO131139 KSK131138:KSK131139 LCG131138:LCG131139 LMC131138:LMC131139 LVY131138:LVY131139 MFU131138:MFU131139 MPQ131138:MPQ131139 MZM131138:MZM131139 NJI131138:NJI131139 NTE131138:NTE131139 ODA131138:ODA131139 OMW131138:OMW131139 OWS131138:OWS131139 PGO131138:PGO131139 PQK131138:PQK131139 QAG131138:QAG131139 QKC131138:QKC131139 QTY131138:QTY131139 RDU131138:RDU131139 RNQ131138:RNQ131139 RXM131138:RXM131139 SHI131138:SHI131139 SRE131138:SRE131139 TBA131138:TBA131139 TKW131138:TKW131139 TUS131138:TUS131139 UEO131138:UEO131139 UOK131138:UOK131139 UYG131138:UYG131139 VIC131138:VIC131139 VRY131138:VRY131139 WBU131138:WBU131139 WLQ131138:WLQ131139 WVM131138:WVM131139 E196674:E196675 JA196674:JA196675 SW196674:SW196675 ACS196674:ACS196675 AMO196674:AMO196675 AWK196674:AWK196675 BGG196674:BGG196675 BQC196674:BQC196675 BZY196674:BZY196675 CJU196674:CJU196675 CTQ196674:CTQ196675 DDM196674:DDM196675 DNI196674:DNI196675 DXE196674:DXE196675 EHA196674:EHA196675 EQW196674:EQW196675 FAS196674:FAS196675 FKO196674:FKO196675 FUK196674:FUK196675 GEG196674:GEG196675 GOC196674:GOC196675 GXY196674:GXY196675 HHU196674:HHU196675 HRQ196674:HRQ196675 IBM196674:IBM196675 ILI196674:ILI196675 IVE196674:IVE196675 JFA196674:JFA196675 JOW196674:JOW196675 JYS196674:JYS196675 KIO196674:KIO196675 KSK196674:KSK196675 LCG196674:LCG196675 LMC196674:LMC196675 LVY196674:LVY196675 MFU196674:MFU196675 MPQ196674:MPQ196675 MZM196674:MZM196675 NJI196674:NJI196675 NTE196674:NTE196675 ODA196674:ODA196675 OMW196674:OMW196675 OWS196674:OWS196675 PGO196674:PGO196675 PQK196674:PQK196675 QAG196674:QAG196675 QKC196674:QKC196675 QTY196674:QTY196675 RDU196674:RDU196675 RNQ196674:RNQ196675 RXM196674:RXM196675 SHI196674:SHI196675 SRE196674:SRE196675 TBA196674:TBA196675 TKW196674:TKW196675 TUS196674:TUS196675 UEO196674:UEO196675 UOK196674:UOK196675 UYG196674:UYG196675 VIC196674:VIC196675 VRY196674:VRY196675 WBU196674:WBU196675 WLQ196674:WLQ196675 WVM196674:WVM196675 E262210:E262211 JA262210:JA262211 SW262210:SW262211 ACS262210:ACS262211 AMO262210:AMO262211 AWK262210:AWK262211 BGG262210:BGG262211 BQC262210:BQC262211 BZY262210:BZY262211 CJU262210:CJU262211 CTQ262210:CTQ262211 DDM262210:DDM262211 DNI262210:DNI262211 DXE262210:DXE262211 EHA262210:EHA262211 EQW262210:EQW262211 FAS262210:FAS262211 FKO262210:FKO262211 FUK262210:FUK262211 GEG262210:GEG262211 GOC262210:GOC262211 GXY262210:GXY262211 HHU262210:HHU262211 HRQ262210:HRQ262211 IBM262210:IBM262211 ILI262210:ILI262211 IVE262210:IVE262211 JFA262210:JFA262211 JOW262210:JOW262211 JYS262210:JYS262211 KIO262210:KIO262211 KSK262210:KSK262211 LCG262210:LCG262211 LMC262210:LMC262211 LVY262210:LVY262211 MFU262210:MFU262211 MPQ262210:MPQ262211 MZM262210:MZM262211 NJI262210:NJI262211 NTE262210:NTE262211 ODA262210:ODA262211 OMW262210:OMW262211 OWS262210:OWS262211 PGO262210:PGO262211 PQK262210:PQK262211 QAG262210:QAG262211 QKC262210:QKC262211 QTY262210:QTY262211 RDU262210:RDU262211 RNQ262210:RNQ262211 RXM262210:RXM262211 SHI262210:SHI262211 SRE262210:SRE262211 TBA262210:TBA262211 TKW262210:TKW262211 TUS262210:TUS262211 UEO262210:UEO262211 UOK262210:UOK262211 UYG262210:UYG262211 VIC262210:VIC262211 VRY262210:VRY262211 WBU262210:WBU262211 WLQ262210:WLQ262211 WVM262210:WVM262211 E327746:E327747 JA327746:JA327747 SW327746:SW327747 ACS327746:ACS327747 AMO327746:AMO327747 AWK327746:AWK327747 BGG327746:BGG327747 BQC327746:BQC327747 BZY327746:BZY327747 CJU327746:CJU327747 CTQ327746:CTQ327747 DDM327746:DDM327747 DNI327746:DNI327747 DXE327746:DXE327747 EHA327746:EHA327747 EQW327746:EQW327747 FAS327746:FAS327747 FKO327746:FKO327747 FUK327746:FUK327747 GEG327746:GEG327747 GOC327746:GOC327747 GXY327746:GXY327747 HHU327746:HHU327747 HRQ327746:HRQ327747 IBM327746:IBM327747 ILI327746:ILI327747 IVE327746:IVE327747 JFA327746:JFA327747 JOW327746:JOW327747 JYS327746:JYS327747 KIO327746:KIO327747 KSK327746:KSK327747 LCG327746:LCG327747 LMC327746:LMC327747 LVY327746:LVY327747 MFU327746:MFU327747 MPQ327746:MPQ327747 MZM327746:MZM327747 NJI327746:NJI327747 NTE327746:NTE327747 ODA327746:ODA327747 OMW327746:OMW327747 OWS327746:OWS327747 PGO327746:PGO327747 PQK327746:PQK327747 QAG327746:QAG327747 QKC327746:QKC327747 QTY327746:QTY327747 RDU327746:RDU327747 RNQ327746:RNQ327747 RXM327746:RXM327747 SHI327746:SHI327747 SRE327746:SRE327747 TBA327746:TBA327747 TKW327746:TKW327747 TUS327746:TUS327747 UEO327746:UEO327747 UOK327746:UOK327747 UYG327746:UYG327747 VIC327746:VIC327747 VRY327746:VRY327747 WBU327746:WBU327747 WLQ327746:WLQ327747 WVM327746:WVM327747 E393282:E393283 JA393282:JA393283 SW393282:SW393283 ACS393282:ACS393283 AMO393282:AMO393283 AWK393282:AWK393283 BGG393282:BGG393283 BQC393282:BQC393283 BZY393282:BZY393283 CJU393282:CJU393283 CTQ393282:CTQ393283 DDM393282:DDM393283 DNI393282:DNI393283 DXE393282:DXE393283 EHA393282:EHA393283 EQW393282:EQW393283 FAS393282:FAS393283 FKO393282:FKO393283 FUK393282:FUK393283 GEG393282:GEG393283 GOC393282:GOC393283 GXY393282:GXY393283 HHU393282:HHU393283 HRQ393282:HRQ393283 IBM393282:IBM393283 ILI393282:ILI393283 IVE393282:IVE393283 JFA393282:JFA393283 JOW393282:JOW393283 JYS393282:JYS393283 KIO393282:KIO393283 KSK393282:KSK393283 LCG393282:LCG393283 LMC393282:LMC393283 LVY393282:LVY393283 MFU393282:MFU393283 MPQ393282:MPQ393283 MZM393282:MZM393283 NJI393282:NJI393283 NTE393282:NTE393283 ODA393282:ODA393283 OMW393282:OMW393283 OWS393282:OWS393283 PGO393282:PGO393283 PQK393282:PQK393283 QAG393282:QAG393283 QKC393282:QKC393283 QTY393282:QTY393283 RDU393282:RDU393283 RNQ393282:RNQ393283 RXM393282:RXM393283 SHI393282:SHI393283 SRE393282:SRE393283 TBA393282:TBA393283 TKW393282:TKW393283 TUS393282:TUS393283 UEO393282:UEO393283 UOK393282:UOK393283 UYG393282:UYG393283 VIC393282:VIC393283 VRY393282:VRY393283 WBU393282:WBU393283 WLQ393282:WLQ393283 WVM393282:WVM393283 E458818:E458819 JA458818:JA458819 SW458818:SW458819 ACS458818:ACS458819 AMO458818:AMO458819 AWK458818:AWK458819 BGG458818:BGG458819 BQC458818:BQC458819 BZY458818:BZY458819 CJU458818:CJU458819 CTQ458818:CTQ458819 DDM458818:DDM458819 DNI458818:DNI458819 DXE458818:DXE458819 EHA458818:EHA458819 EQW458818:EQW458819 FAS458818:FAS458819 FKO458818:FKO458819 FUK458818:FUK458819 GEG458818:GEG458819 GOC458818:GOC458819 GXY458818:GXY458819 HHU458818:HHU458819 HRQ458818:HRQ458819 IBM458818:IBM458819 ILI458818:ILI458819 IVE458818:IVE458819 JFA458818:JFA458819 JOW458818:JOW458819 JYS458818:JYS458819 KIO458818:KIO458819 KSK458818:KSK458819 LCG458818:LCG458819 LMC458818:LMC458819 LVY458818:LVY458819 MFU458818:MFU458819 MPQ458818:MPQ458819 MZM458818:MZM458819 NJI458818:NJI458819 NTE458818:NTE458819 ODA458818:ODA458819 OMW458818:OMW458819 OWS458818:OWS458819 PGO458818:PGO458819 PQK458818:PQK458819 QAG458818:QAG458819 QKC458818:QKC458819 QTY458818:QTY458819 RDU458818:RDU458819 RNQ458818:RNQ458819 RXM458818:RXM458819 SHI458818:SHI458819 SRE458818:SRE458819 TBA458818:TBA458819 TKW458818:TKW458819 TUS458818:TUS458819 UEO458818:UEO458819 UOK458818:UOK458819 UYG458818:UYG458819 VIC458818:VIC458819 VRY458818:VRY458819 WBU458818:WBU458819 WLQ458818:WLQ458819 WVM458818:WVM458819 E524354:E524355 JA524354:JA524355 SW524354:SW524355 ACS524354:ACS524355 AMO524354:AMO524355 AWK524354:AWK524355 BGG524354:BGG524355 BQC524354:BQC524355 BZY524354:BZY524355 CJU524354:CJU524355 CTQ524354:CTQ524355 DDM524354:DDM524355 DNI524354:DNI524355 DXE524354:DXE524355 EHA524354:EHA524355 EQW524354:EQW524355 FAS524354:FAS524355 FKO524354:FKO524355 FUK524354:FUK524355 GEG524354:GEG524355 GOC524354:GOC524355 GXY524354:GXY524355 HHU524354:HHU524355 HRQ524354:HRQ524355 IBM524354:IBM524355 ILI524354:ILI524355 IVE524354:IVE524355 JFA524354:JFA524355 JOW524354:JOW524355 JYS524354:JYS524355 KIO524354:KIO524355 KSK524354:KSK524355 LCG524354:LCG524355 LMC524354:LMC524355 LVY524354:LVY524355 MFU524354:MFU524355 MPQ524354:MPQ524355 MZM524354:MZM524355 NJI524354:NJI524355 NTE524354:NTE524355 ODA524354:ODA524355 OMW524354:OMW524355 OWS524354:OWS524355 PGO524354:PGO524355 PQK524354:PQK524355 QAG524354:QAG524355 QKC524354:QKC524355 QTY524354:QTY524355 RDU524354:RDU524355 RNQ524354:RNQ524355 RXM524354:RXM524355 SHI524354:SHI524355 SRE524354:SRE524355 TBA524354:TBA524355 TKW524354:TKW524355 TUS524354:TUS524355 UEO524354:UEO524355 UOK524354:UOK524355 UYG524354:UYG524355 VIC524354:VIC524355 VRY524354:VRY524355 WBU524354:WBU524355 WLQ524354:WLQ524355 WVM524354:WVM524355 E589890:E589891 JA589890:JA589891 SW589890:SW589891 ACS589890:ACS589891 AMO589890:AMO589891 AWK589890:AWK589891 BGG589890:BGG589891 BQC589890:BQC589891 BZY589890:BZY589891 CJU589890:CJU589891 CTQ589890:CTQ589891 DDM589890:DDM589891 DNI589890:DNI589891 DXE589890:DXE589891 EHA589890:EHA589891 EQW589890:EQW589891 FAS589890:FAS589891 FKO589890:FKO589891 FUK589890:FUK589891 GEG589890:GEG589891 GOC589890:GOC589891 GXY589890:GXY589891 HHU589890:HHU589891 HRQ589890:HRQ589891 IBM589890:IBM589891 ILI589890:ILI589891 IVE589890:IVE589891 JFA589890:JFA589891 JOW589890:JOW589891 JYS589890:JYS589891 KIO589890:KIO589891 KSK589890:KSK589891 LCG589890:LCG589891 LMC589890:LMC589891 LVY589890:LVY589891 MFU589890:MFU589891 MPQ589890:MPQ589891 MZM589890:MZM589891 NJI589890:NJI589891 NTE589890:NTE589891 ODA589890:ODA589891 OMW589890:OMW589891 OWS589890:OWS589891 PGO589890:PGO589891 PQK589890:PQK589891 QAG589890:QAG589891 QKC589890:QKC589891 QTY589890:QTY589891 RDU589890:RDU589891 RNQ589890:RNQ589891 RXM589890:RXM589891 SHI589890:SHI589891 SRE589890:SRE589891 TBA589890:TBA589891 TKW589890:TKW589891 TUS589890:TUS589891 UEO589890:UEO589891 UOK589890:UOK589891 UYG589890:UYG589891 VIC589890:VIC589891 VRY589890:VRY589891 WBU589890:WBU589891 WLQ589890:WLQ589891 WVM589890:WVM589891 E655426:E655427 JA655426:JA655427 SW655426:SW655427 ACS655426:ACS655427 AMO655426:AMO655427 AWK655426:AWK655427 BGG655426:BGG655427 BQC655426:BQC655427 BZY655426:BZY655427 CJU655426:CJU655427 CTQ655426:CTQ655427 DDM655426:DDM655427 DNI655426:DNI655427 DXE655426:DXE655427 EHA655426:EHA655427 EQW655426:EQW655427 FAS655426:FAS655427 FKO655426:FKO655427 FUK655426:FUK655427 GEG655426:GEG655427 GOC655426:GOC655427 GXY655426:GXY655427 HHU655426:HHU655427 HRQ655426:HRQ655427 IBM655426:IBM655427 ILI655426:ILI655427 IVE655426:IVE655427 JFA655426:JFA655427 JOW655426:JOW655427 JYS655426:JYS655427 KIO655426:KIO655427 KSK655426:KSK655427 LCG655426:LCG655427 LMC655426:LMC655427 LVY655426:LVY655427 MFU655426:MFU655427 MPQ655426:MPQ655427 MZM655426:MZM655427 NJI655426:NJI655427 NTE655426:NTE655427 ODA655426:ODA655427 OMW655426:OMW655427 OWS655426:OWS655427 PGO655426:PGO655427 PQK655426:PQK655427 QAG655426:QAG655427 QKC655426:QKC655427 QTY655426:QTY655427 RDU655426:RDU655427 RNQ655426:RNQ655427 RXM655426:RXM655427 SHI655426:SHI655427 SRE655426:SRE655427 TBA655426:TBA655427 TKW655426:TKW655427 TUS655426:TUS655427 UEO655426:UEO655427 UOK655426:UOK655427 UYG655426:UYG655427 VIC655426:VIC655427 VRY655426:VRY655427 WBU655426:WBU655427 WLQ655426:WLQ655427 WVM655426:WVM655427 E720962:E720963 JA720962:JA720963 SW720962:SW720963 ACS720962:ACS720963 AMO720962:AMO720963 AWK720962:AWK720963 BGG720962:BGG720963 BQC720962:BQC720963 BZY720962:BZY720963 CJU720962:CJU720963 CTQ720962:CTQ720963 DDM720962:DDM720963 DNI720962:DNI720963 DXE720962:DXE720963 EHA720962:EHA720963 EQW720962:EQW720963 FAS720962:FAS720963 FKO720962:FKO720963 FUK720962:FUK720963 GEG720962:GEG720963 GOC720962:GOC720963 GXY720962:GXY720963 HHU720962:HHU720963 HRQ720962:HRQ720963 IBM720962:IBM720963 ILI720962:ILI720963 IVE720962:IVE720963 JFA720962:JFA720963 JOW720962:JOW720963 JYS720962:JYS720963 KIO720962:KIO720963 KSK720962:KSK720963 LCG720962:LCG720963 LMC720962:LMC720963 LVY720962:LVY720963 MFU720962:MFU720963 MPQ720962:MPQ720963 MZM720962:MZM720963 NJI720962:NJI720963 NTE720962:NTE720963 ODA720962:ODA720963 OMW720962:OMW720963 OWS720962:OWS720963 PGO720962:PGO720963 PQK720962:PQK720963 QAG720962:QAG720963 QKC720962:QKC720963 QTY720962:QTY720963 RDU720962:RDU720963 RNQ720962:RNQ720963 RXM720962:RXM720963 SHI720962:SHI720963 SRE720962:SRE720963 TBA720962:TBA720963 TKW720962:TKW720963 TUS720962:TUS720963 UEO720962:UEO720963 UOK720962:UOK720963 UYG720962:UYG720963 VIC720962:VIC720963 VRY720962:VRY720963 WBU720962:WBU720963 WLQ720962:WLQ720963 WVM720962:WVM720963 E786498:E786499 JA786498:JA786499 SW786498:SW786499 ACS786498:ACS786499 AMO786498:AMO786499 AWK786498:AWK786499 BGG786498:BGG786499 BQC786498:BQC786499 BZY786498:BZY786499 CJU786498:CJU786499 CTQ786498:CTQ786499 DDM786498:DDM786499 DNI786498:DNI786499 DXE786498:DXE786499 EHA786498:EHA786499 EQW786498:EQW786499 FAS786498:FAS786499 FKO786498:FKO786499 FUK786498:FUK786499 GEG786498:GEG786499 GOC786498:GOC786499 GXY786498:GXY786499 HHU786498:HHU786499 HRQ786498:HRQ786499 IBM786498:IBM786499 ILI786498:ILI786499 IVE786498:IVE786499 JFA786498:JFA786499 JOW786498:JOW786499 JYS786498:JYS786499 KIO786498:KIO786499 KSK786498:KSK786499 LCG786498:LCG786499 LMC786498:LMC786499 LVY786498:LVY786499 MFU786498:MFU786499 MPQ786498:MPQ786499 MZM786498:MZM786499 NJI786498:NJI786499 NTE786498:NTE786499 ODA786498:ODA786499 OMW786498:OMW786499 OWS786498:OWS786499 PGO786498:PGO786499 PQK786498:PQK786499 QAG786498:QAG786499 QKC786498:QKC786499 QTY786498:QTY786499 RDU786498:RDU786499 RNQ786498:RNQ786499 RXM786498:RXM786499 SHI786498:SHI786499 SRE786498:SRE786499 TBA786498:TBA786499 TKW786498:TKW786499 TUS786498:TUS786499 UEO786498:UEO786499 UOK786498:UOK786499 UYG786498:UYG786499 VIC786498:VIC786499 VRY786498:VRY786499 WBU786498:WBU786499 WLQ786498:WLQ786499 WVM786498:WVM786499 E852034:E852035 JA852034:JA852035 SW852034:SW852035 ACS852034:ACS852035 AMO852034:AMO852035 AWK852034:AWK852035 BGG852034:BGG852035 BQC852034:BQC852035 BZY852034:BZY852035 CJU852034:CJU852035 CTQ852034:CTQ852035 DDM852034:DDM852035 DNI852034:DNI852035 DXE852034:DXE852035 EHA852034:EHA852035 EQW852034:EQW852035 FAS852034:FAS852035 FKO852034:FKO852035 FUK852034:FUK852035 GEG852034:GEG852035 GOC852034:GOC852035 GXY852034:GXY852035 HHU852034:HHU852035 HRQ852034:HRQ852035 IBM852034:IBM852035 ILI852034:ILI852035 IVE852034:IVE852035 JFA852034:JFA852035 JOW852034:JOW852035 JYS852034:JYS852035 KIO852034:KIO852035 KSK852034:KSK852035 LCG852034:LCG852035 LMC852034:LMC852035 LVY852034:LVY852035 MFU852034:MFU852035 MPQ852034:MPQ852035 MZM852034:MZM852035 NJI852034:NJI852035 NTE852034:NTE852035 ODA852034:ODA852035 OMW852034:OMW852035 OWS852034:OWS852035 PGO852034:PGO852035 PQK852034:PQK852035 QAG852034:QAG852035 QKC852034:QKC852035 QTY852034:QTY852035 RDU852034:RDU852035 RNQ852034:RNQ852035 RXM852034:RXM852035 SHI852034:SHI852035 SRE852034:SRE852035 TBA852034:TBA852035 TKW852034:TKW852035 TUS852034:TUS852035 UEO852034:UEO852035 UOK852034:UOK852035 UYG852034:UYG852035 VIC852034:VIC852035 VRY852034:VRY852035 WBU852034:WBU852035 WLQ852034:WLQ852035 WVM852034:WVM852035 E917570:E917571 JA917570:JA917571 SW917570:SW917571 ACS917570:ACS917571 AMO917570:AMO917571 AWK917570:AWK917571 BGG917570:BGG917571 BQC917570:BQC917571 BZY917570:BZY917571 CJU917570:CJU917571 CTQ917570:CTQ917571 DDM917570:DDM917571 DNI917570:DNI917571 DXE917570:DXE917571 EHA917570:EHA917571 EQW917570:EQW917571 FAS917570:FAS917571 FKO917570:FKO917571 FUK917570:FUK917571 GEG917570:GEG917571 GOC917570:GOC917571 GXY917570:GXY917571 HHU917570:HHU917571 HRQ917570:HRQ917571 IBM917570:IBM917571 ILI917570:ILI917571 IVE917570:IVE917571 JFA917570:JFA917571 JOW917570:JOW917571 JYS917570:JYS917571 KIO917570:KIO917571 KSK917570:KSK917571 LCG917570:LCG917571 LMC917570:LMC917571 LVY917570:LVY917571 MFU917570:MFU917571 MPQ917570:MPQ917571 MZM917570:MZM917571 NJI917570:NJI917571 NTE917570:NTE917571 ODA917570:ODA917571 OMW917570:OMW917571 OWS917570:OWS917571 PGO917570:PGO917571 PQK917570:PQK917571 QAG917570:QAG917571 QKC917570:QKC917571 QTY917570:QTY917571 RDU917570:RDU917571 RNQ917570:RNQ917571 RXM917570:RXM917571 SHI917570:SHI917571 SRE917570:SRE917571 TBA917570:TBA917571 TKW917570:TKW917571 TUS917570:TUS917571 UEO917570:UEO917571 UOK917570:UOK917571 UYG917570:UYG917571 VIC917570:VIC917571 VRY917570:VRY917571 WBU917570:WBU917571 WLQ917570:WLQ917571 WVM917570:WVM917571 E983106:E983107 JA983106:JA983107 SW983106:SW983107 ACS983106:ACS983107 AMO983106:AMO983107 AWK983106:AWK983107 BGG983106:BGG983107 BQC983106:BQC983107 BZY983106:BZY983107 CJU983106:CJU983107 CTQ983106:CTQ983107 DDM983106:DDM983107 DNI983106:DNI983107 DXE983106:DXE983107 EHA983106:EHA983107 EQW983106:EQW983107 FAS983106:FAS983107 FKO983106:FKO983107 FUK983106:FUK983107 GEG983106:GEG983107 GOC983106:GOC983107 GXY983106:GXY983107 HHU983106:HHU983107 HRQ983106:HRQ983107 IBM983106:IBM983107 ILI983106:ILI983107 IVE983106:IVE983107 JFA983106:JFA983107 JOW983106:JOW983107 JYS983106:JYS983107 KIO983106:KIO983107 KSK983106:KSK983107 LCG983106:LCG983107 LMC983106:LMC983107 LVY983106:LVY983107 MFU983106:MFU983107 MPQ983106:MPQ983107 MZM983106:MZM983107 NJI983106:NJI983107 NTE983106:NTE983107 ODA983106:ODA983107 OMW983106:OMW983107 OWS983106:OWS983107 PGO983106:PGO983107 PQK983106:PQK983107 QAG983106:QAG983107 QKC983106:QKC983107 QTY983106:QTY983107 RDU983106:RDU983107 RNQ983106:RNQ983107 RXM983106:RXM983107 SHI983106:SHI983107 SRE983106:SRE983107 TBA983106:TBA983107 TKW983106:TKW983107 TUS983106:TUS983107 UEO983106:UEO983107 UOK983106:UOK983107 UYG983106:UYG983107 VIC983106:VIC983107 VRY983106:VRY983107 WBU983106:WBU983107 WLQ983106:WLQ983107 WVM983106:WVM983107 C195:D195 IY195:IZ195 SU195:SV195 ACQ195:ACR195 AMM195:AMN195 AWI195:AWJ195 BGE195:BGF195 BQA195:BQB195 BZW195:BZX195 CJS195:CJT195 CTO195:CTP195 DDK195:DDL195 DNG195:DNH195 DXC195:DXD195 EGY195:EGZ195 EQU195:EQV195 FAQ195:FAR195 FKM195:FKN195 FUI195:FUJ195 GEE195:GEF195 GOA195:GOB195 GXW195:GXX195 HHS195:HHT195 HRO195:HRP195 IBK195:IBL195 ILG195:ILH195 IVC195:IVD195 JEY195:JEZ195 JOU195:JOV195 JYQ195:JYR195 KIM195:KIN195 KSI195:KSJ195 LCE195:LCF195 LMA195:LMB195 LVW195:LVX195 MFS195:MFT195 MPO195:MPP195 MZK195:MZL195 NJG195:NJH195 NTC195:NTD195 OCY195:OCZ195 OMU195:OMV195 OWQ195:OWR195 PGM195:PGN195 PQI195:PQJ195 QAE195:QAF195 QKA195:QKB195 QTW195:QTX195 RDS195:RDT195 RNO195:RNP195 RXK195:RXL195 SHG195:SHH195 SRC195:SRD195 TAY195:TAZ195 TKU195:TKV195 TUQ195:TUR195 UEM195:UEN195 UOI195:UOJ195 UYE195:UYF195 VIA195:VIB195 VRW195:VRX195 WBS195:WBT195 WLO195:WLP195 WVK195:WVL195 C65731:D65731 IY65731:IZ65731 SU65731:SV65731 ACQ65731:ACR65731 AMM65731:AMN65731 AWI65731:AWJ65731 BGE65731:BGF65731 BQA65731:BQB65731 BZW65731:BZX65731 CJS65731:CJT65731 CTO65731:CTP65731 DDK65731:DDL65731 DNG65731:DNH65731 DXC65731:DXD65731 EGY65731:EGZ65731 EQU65731:EQV65731 FAQ65731:FAR65731 FKM65731:FKN65731 FUI65731:FUJ65731 GEE65731:GEF65731 GOA65731:GOB65731 GXW65731:GXX65731 HHS65731:HHT65731 HRO65731:HRP65731 IBK65731:IBL65731 ILG65731:ILH65731 IVC65731:IVD65731 JEY65731:JEZ65731 JOU65731:JOV65731 JYQ65731:JYR65731 KIM65731:KIN65731 KSI65731:KSJ65731 LCE65731:LCF65731 LMA65731:LMB65731 LVW65731:LVX65731 MFS65731:MFT65731 MPO65731:MPP65731 MZK65731:MZL65731 NJG65731:NJH65731 NTC65731:NTD65731 OCY65731:OCZ65731 OMU65731:OMV65731 OWQ65731:OWR65731 PGM65731:PGN65731 PQI65731:PQJ65731 QAE65731:QAF65731 QKA65731:QKB65731 QTW65731:QTX65731 RDS65731:RDT65731 RNO65731:RNP65731 RXK65731:RXL65731 SHG65731:SHH65731 SRC65731:SRD65731 TAY65731:TAZ65731 TKU65731:TKV65731 TUQ65731:TUR65731 UEM65731:UEN65731 UOI65731:UOJ65731 UYE65731:UYF65731 VIA65731:VIB65731 VRW65731:VRX65731 WBS65731:WBT65731 WLO65731:WLP65731 WVK65731:WVL65731 C131267:D131267 IY131267:IZ131267 SU131267:SV131267 ACQ131267:ACR131267 AMM131267:AMN131267 AWI131267:AWJ131267 BGE131267:BGF131267 BQA131267:BQB131267 BZW131267:BZX131267 CJS131267:CJT131267 CTO131267:CTP131267 DDK131267:DDL131267 DNG131267:DNH131267 DXC131267:DXD131267 EGY131267:EGZ131267 EQU131267:EQV131267 FAQ131267:FAR131267 FKM131267:FKN131267 FUI131267:FUJ131267 GEE131267:GEF131267 GOA131267:GOB131267 GXW131267:GXX131267 HHS131267:HHT131267 HRO131267:HRP131267 IBK131267:IBL131267 ILG131267:ILH131267 IVC131267:IVD131267 JEY131267:JEZ131267 JOU131267:JOV131267 JYQ131267:JYR131267 KIM131267:KIN131267 KSI131267:KSJ131267 LCE131267:LCF131267 LMA131267:LMB131267 LVW131267:LVX131267 MFS131267:MFT131267 MPO131267:MPP131267 MZK131267:MZL131267 NJG131267:NJH131267 NTC131267:NTD131267 OCY131267:OCZ131267 OMU131267:OMV131267 OWQ131267:OWR131267 PGM131267:PGN131267 PQI131267:PQJ131267 QAE131267:QAF131267 QKA131267:QKB131267 QTW131267:QTX131267 RDS131267:RDT131267 RNO131267:RNP131267 RXK131267:RXL131267 SHG131267:SHH131267 SRC131267:SRD131267 TAY131267:TAZ131267 TKU131267:TKV131267 TUQ131267:TUR131267 UEM131267:UEN131267 UOI131267:UOJ131267 UYE131267:UYF131267 VIA131267:VIB131267 VRW131267:VRX131267 WBS131267:WBT131267 WLO131267:WLP131267 WVK131267:WVL131267 C196803:D196803 IY196803:IZ196803 SU196803:SV196803 ACQ196803:ACR196803 AMM196803:AMN196803 AWI196803:AWJ196803 BGE196803:BGF196803 BQA196803:BQB196803 BZW196803:BZX196803 CJS196803:CJT196803 CTO196803:CTP196803 DDK196803:DDL196803 DNG196803:DNH196803 DXC196803:DXD196803 EGY196803:EGZ196803 EQU196803:EQV196803 FAQ196803:FAR196803 FKM196803:FKN196803 FUI196803:FUJ196803 GEE196803:GEF196803 GOA196803:GOB196803 GXW196803:GXX196803 HHS196803:HHT196803 HRO196803:HRP196803 IBK196803:IBL196803 ILG196803:ILH196803 IVC196803:IVD196803 JEY196803:JEZ196803 JOU196803:JOV196803 JYQ196803:JYR196803 KIM196803:KIN196803 KSI196803:KSJ196803 LCE196803:LCF196803 LMA196803:LMB196803 LVW196803:LVX196803 MFS196803:MFT196803 MPO196803:MPP196803 MZK196803:MZL196803 NJG196803:NJH196803 NTC196803:NTD196803 OCY196803:OCZ196803 OMU196803:OMV196803 OWQ196803:OWR196803 PGM196803:PGN196803 PQI196803:PQJ196803 QAE196803:QAF196803 QKA196803:QKB196803 QTW196803:QTX196803 RDS196803:RDT196803 RNO196803:RNP196803 RXK196803:RXL196803 SHG196803:SHH196803 SRC196803:SRD196803 TAY196803:TAZ196803 TKU196803:TKV196803 TUQ196803:TUR196803 UEM196803:UEN196803 UOI196803:UOJ196803 UYE196803:UYF196803 VIA196803:VIB196803 VRW196803:VRX196803 WBS196803:WBT196803 WLO196803:WLP196803 WVK196803:WVL196803 C262339:D262339 IY262339:IZ262339 SU262339:SV262339 ACQ262339:ACR262339 AMM262339:AMN262339 AWI262339:AWJ262339 BGE262339:BGF262339 BQA262339:BQB262339 BZW262339:BZX262339 CJS262339:CJT262339 CTO262339:CTP262339 DDK262339:DDL262339 DNG262339:DNH262339 DXC262339:DXD262339 EGY262339:EGZ262339 EQU262339:EQV262339 FAQ262339:FAR262339 FKM262339:FKN262339 FUI262339:FUJ262339 GEE262339:GEF262339 GOA262339:GOB262339 GXW262339:GXX262339 HHS262339:HHT262339 HRO262339:HRP262339 IBK262339:IBL262339 ILG262339:ILH262339 IVC262339:IVD262339 JEY262339:JEZ262339 JOU262339:JOV262339 JYQ262339:JYR262339 KIM262339:KIN262339 KSI262339:KSJ262339 LCE262339:LCF262339 LMA262339:LMB262339 LVW262339:LVX262339 MFS262339:MFT262339 MPO262339:MPP262339 MZK262339:MZL262339 NJG262339:NJH262339 NTC262339:NTD262339 OCY262339:OCZ262339 OMU262339:OMV262339 OWQ262339:OWR262339 PGM262339:PGN262339 PQI262339:PQJ262339 QAE262339:QAF262339 QKA262339:QKB262339 QTW262339:QTX262339 RDS262339:RDT262339 RNO262339:RNP262339 RXK262339:RXL262339 SHG262339:SHH262339 SRC262339:SRD262339 TAY262339:TAZ262339 TKU262339:TKV262339 TUQ262339:TUR262339 UEM262339:UEN262339 UOI262339:UOJ262339 UYE262339:UYF262339 VIA262339:VIB262339 VRW262339:VRX262339 WBS262339:WBT262339 WLO262339:WLP262339 WVK262339:WVL262339 C327875:D327875 IY327875:IZ327875 SU327875:SV327875 ACQ327875:ACR327875 AMM327875:AMN327875 AWI327875:AWJ327875 BGE327875:BGF327875 BQA327875:BQB327875 BZW327875:BZX327875 CJS327875:CJT327875 CTO327875:CTP327875 DDK327875:DDL327875 DNG327875:DNH327875 DXC327875:DXD327875 EGY327875:EGZ327875 EQU327875:EQV327875 FAQ327875:FAR327875 FKM327875:FKN327875 FUI327875:FUJ327875 GEE327875:GEF327875 GOA327875:GOB327875 GXW327875:GXX327875 HHS327875:HHT327875 HRO327875:HRP327875 IBK327875:IBL327875 ILG327875:ILH327875 IVC327875:IVD327875 JEY327875:JEZ327875 JOU327875:JOV327875 JYQ327875:JYR327875 KIM327875:KIN327875 KSI327875:KSJ327875 LCE327875:LCF327875 LMA327875:LMB327875 LVW327875:LVX327875 MFS327875:MFT327875 MPO327875:MPP327875 MZK327875:MZL327875 NJG327875:NJH327875 NTC327875:NTD327875 OCY327875:OCZ327875 OMU327875:OMV327875 OWQ327875:OWR327875 PGM327875:PGN327875 PQI327875:PQJ327875 QAE327875:QAF327875 QKA327875:QKB327875 QTW327875:QTX327875 RDS327875:RDT327875 RNO327875:RNP327875 RXK327875:RXL327875 SHG327875:SHH327875 SRC327875:SRD327875 TAY327875:TAZ327875 TKU327875:TKV327875 TUQ327875:TUR327875 UEM327875:UEN327875 UOI327875:UOJ327875 UYE327875:UYF327875 VIA327875:VIB327875 VRW327875:VRX327875 WBS327875:WBT327875 WLO327875:WLP327875 WVK327875:WVL327875 C393411:D393411 IY393411:IZ393411 SU393411:SV393411 ACQ393411:ACR393411 AMM393411:AMN393411 AWI393411:AWJ393411 BGE393411:BGF393411 BQA393411:BQB393411 BZW393411:BZX393411 CJS393411:CJT393411 CTO393411:CTP393411 DDK393411:DDL393411 DNG393411:DNH393411 DXC393411:DXD393411 EGY393411:EGZ393411 EQU393411:EQV393411 FAQ393411:FAR393411 FKM393411:FKN393411 FUI393411:FUJ393411 GEE393411:GEF393411 GOA393411:GOB393411 GXW393411:GXX393411 HHS393411:HHT393411 HRO393411:HRP393411 IBK393411:IBL393411 ILG393411:ILH393411 IVC393411:IVD393411 JEY393411:JEZ393411 JOU393411:JOV393411 JYQ393411:JYR393411 KIM393411:KIN393411 KSI393411:KSJ393411 LCE393411:LCF393411 LMA393411:LMB393411 LVW393411:LVX393411 MFS393411:MFT393411 MPO393411:MPP393411 MZK393411:MZL393411 NJG393411:NJH393411 NTC393411:NTD393411 OCY393411:OCZ393411 OMU393411:OMV393411 OWQ393411:OWR393411 PGM393411:PGN393411 PQI393411:PQJ393411 QAE393411:QAF393411 QKA393411:QKB393411 QTW393411:QTX393411 RDS393411:RDT393411 RNO393411:RNP393411 RXK393411:RXL393411 SHG393411:SHH393411 SRC393411:SRD393411 TAY393411:TAZ393411 TKU393411:TKV393411 TUQ393411:TUR393411 UEM393411:UEN393411 UOI393411:UOJ393411 UYE393411:UYF393411 VIA393411:VIB393411 VRW393411:VRX393411 WBS393411:WBT393411 WLO393411:WLP393411 WVK393411:WVL393411 C458947:D458947 IY458947:IZ458947 SU458947:SV458947 ACQ458947:ACR458947 AMM458947:AMN458947 AWI458947:AWJ458947 BGE458947:BGF458947 BQA458947:BQB458947 BZW458947:BZX458947 CJS458947:CJT458947 CTO458947:CTP458947 DDK458947:DDL458947 DNG458947:DNH458947 DXC458947:DXD458947 EGY458947:EGZ458947 EQU458947:EQV458947 FAQ458947:FAR458947 FKM458947:FKN458947 FUI458947:FUJ458947 GEE458947:GEF458947 GOA458947:GOB458947 GXW458947:GXX458947 HHS458947:HHT458947 HRO458947:HRP458947 IBK458947:IBL458947 ILG458947:ILH458947 IVC458947:IVD458947 JEY458947:JEZ458947 JOU458947:JOV458947 JYQ458947:JYR458947 KIM458947:KIN458947 KSI458947:KSJ458947 LCE458947:LCF458947 LMA458947:LMB458947 LVW458947:LVX458947 MFS458947:MFT458947 MPO458947:MPP458947 MZK458947:MZL458947 NJG458947:NJH458947 NTC458947:NTD458947 OCY458947:OCZ458947 OMU458947:OMV458947 OWQ458947:OWR458947 PGM458947:PGN458947 PQI458947:PQJ458947 QAE458947:QAF458947 QKA458947:QKB458947 QTW458947:QTX458947 RDS458947:RDT458947 RNO458947:RNP458947 RXK458947:RXL458947 SHG458947:SHH458947 SRC458947:SRD458947 TAY458947:TAZ458947 TKU458947:TKV458947 TUQ458947:TUR458947 UEM458947:UEN458947 UOI458947:UOJ458947 UYE458947:UYF458947 VIA458947:VIB458947 VRW458947:VRX458947 WBS458947:WBT458947 WLO458947:WLP458947 WVK458947:WVL458947 C524483:D524483 IY524483:IZ524483 SU524483:SV524483 ACQ524483:ACR524483 AMM524483:AMN524483 AWI524483:AWJ524483 BGE524483:BGF524483 BQA524483:BQB524483 BZW524483:BZX524483 CJS524483:CJT524483 CTO524483:CTP524483 DDK524483:DDL524483 DNG524483:DNH524483 DXC524483:DXD524483 EGY524483:EGZ524483 EQU524483:EQV524483 FAQ524483:FAR524483 FKM524483:FKN524483 FUI524483:FUJ524483 GEE524483:GEF524483 GOA524483:GOB524483 GXW524483:GXX524483 HHS524483:HHT524483 HRO524483:HRP524483 IBK524483:IBL524483 ILG524483:ILH524483 IVC524483:IVD524483 JEY524483:JEZ524483 JOU524483:JOV524483 JYQ524483:JYR524483 KIM524483:KIN524483 KSI524483:KSJ524483 LCE524483:LCF524483 LMA524483:LMB524483 LVW524483:LVX524483 MFS524483:MFT524483 MPO524483:MPP524483 MZK524483:MZL524483 NJG524483:NJH524483 NTC524483:NTD524483 OCY524483:OCZ524483 OMU524483:OMV524483 OWQ524483:OWR524483 PGM524483:PGN524483 PQI524483:PQJ524483 QAE524483:QAF524483 QKA524483:QKB524483 QTW524483:QTX524483 RDS524483:RDT524483 RNO524483:RNP524483 RXK524483:RXL524483 SHG524483:SHH524483 SRC524483:SRD524483 TAY524483:TAZ524483 TKU524483:TKV524483 TUQ524483:TUR524483 UEM524483:UEN524483 UOI524483:UOJ524483 UYE524483:UYF524483 VIA524483:VIB524483 VRW524483:VRX524483 WBS524483:WBT524483 WLO524483:WLP524483 WVK524483:WVL524483 C590019:D590019 IY590019:IZ590019 SU590019:SV590019 ACQ590019:ACR590019 AMM590019:AMN590019 AWI590019:AWJ590019 BGE590019:BGF590019 BQA590019:BQB590019 BZW590019:BZX590019 CJS590019:CJT590019 CTO590019:CTP590019 DDK590019:DDL590019 DNG590019:DNH590019 DXC590019:DXD590019 EGY590019:EGZ590019 EQU590019:EQV590019 FAQ590019:FAR590019 FKM590019:FKN590019 FUI590019:FUJ590019 GEE590019:GEF590019 GOA590019:GOB590019 GXW590019:GXX590019 HHS590019:HHT590019 HRO590019:HRP590019 IBK590019:IBL590019 ILG590019:ILH590019 IVC590019:IVD590019 JEY590019:JEZ590019 JOU590019:JOV590019 JYQ590019:JYR590019 KIM590019:KIN590019 KSI590019:KSJ590019 LCE590019:LCF590019 LMA590019:LMB590019 LVW590019:LVX590019 MFS590019:MFT590019 MPO590019:MPP590019 MZK590019:MZL590019 NJG590019:NJH590019 NTC590019:NTD590019 OCY590019:OCZ590019 OMU590019:OMV590019 OWQ590019:OWR590019 PGM590019:PGN590019 PQI590019:PQJ590019 QAE590019:QAF590019 QKA590019:QKB590019 QTW590019:QTX590019 RDS590019:RDT590019 RNO590019:RNP590019 RXK590019:RXL590019 SHG590019:SHH590019 SRC590019:SRD590019 TAY590019:TAZ590019 TKU590019:TKV590019 TUQ590019:TUR590019 UEM590019:UEN590019 UOI590019:UOJ590019 UYE590019:UYF590019 VIA590019:VIB590019 VRW590019:VRX590019 WBS590019:WBT590019 WLO590019:WLP590019 WVK590019:WVL590019 C655555:D655555 IY655555:IZ655555 SU655555:SV655555 ACQ655555:ACR655555 AMM655555:AMN655555 AWI655555:AWJ655555 BGE655555:BGF655555 BQA655555:BQB655555 BZW655555:BZX655555 CJS655555:CJT655555 CTO655555:CTP655555 DDK655555:DDL655555 DNG655555:DNH655555 DXC655555:DXD655555 EGY655555:EGZ655555 EQU655555:EQV655555 FAQ655555:FAR655555 FKM655555:FKN655555 FUI655555:FUJ655555 GEE655555:GEF655555 GOA655555:GOB655555 GXW655555:GXX655555 HHS655555:HHT655555 HRO655555:HRP655555 IBK655555:IBL655555 ILG655555:ILH655555 IVC655555:IVD655555 JEY655555:JEZ655555 JOU655555:JOV655555 JYQ655555:JYR655555 KIM655555:KIN655555 KSI655555:KSJ655555 LCE655555:LCF655555 LMA655555:LMB655555 LVW655555:LVX655555 MFS655555:MFT655555 MPO655555:MPP655555 MZK655555:MZL655555 NJG655555:NJH655555 NTC655555:NTD655555 OCY655555:OCZ655555 OMU655555:OMV655555 OWQ655555:OWR655555 PGM655555:PGN655555 PQI655555:PQJ655555 QAE655555:QAF655555 QKA655555:QKB655555 QTW655555:QTX655555 RDS655555:RDT655555 RNO655555:RNP655555 RXK655555:RXL655555 SHG655555:SHH655555 SRC655555:SRD655555 TAY655555:TAZ655555 TKU655555:TKV655555 TUQ655555:TUR655555 UEM655555:UEN655555 UOI655555:UOJ655555 UYE655555:UYF655555 VIA655555:VIB655555 VRW655555:VRX655555 WBS655555:WBT655555 WLO655555:WLP655555 WVK655555:WVL655555 C721091:D721091 IY721091:IZ721091 SU721091:SV721091 ACQ721091:ACR721091 AMM721091:AMN721091 AWI721091:AWJ721091 BGE721091:BGF721091 BQA721091:BQB721091 BZW721091:BZX721091 CJS721091:CJT721091 CTO721091:CTP721091 DDK721091:DDL721091 DNG721091:DNH721091 DXC721091:DXD721091 EGY721091:EGZ721091 EQU721091:EQV721091 FAQ721091:FAR721091 FKM721091:FKN721091 FUI721091:FUJ721091 GEE721091:GEF721091 GOA721091:GOB721091 GXW721091:GXX721091 HHS721091:HHT721091 HRO721091:HRP721091 IBK721091:IBL721091 ILG721091:ILH721091 IVC721091:IVD721091 JEY721091:JEZ721091 JOU721091:JOV721091 JYQ721091:JYR721091 KIM721091:KIN721091 KSI721091:KSJ721091 LCE721091:LCF721091 LMA721091:LMB721091 LVW721091:LVX721091 MFS721091:MFT721091 MPO721091:MPP721091 MZK721091:MZL721091 NJG721091:NJH721091 NTC721091:NTD721091 OCY721091:OCZ721091 OMU721091:OMV721091 OWQ721091:OWR721091 PGM721091:PGN721091 PQI721091:PQJ721091 QAE721091:QAF721091 QKA721091:QKB721091 QTW721091:QTX721091 RDS721091:RDT721091 RNO721091:RNP721091 RXK721091:RXL721091 SHG721091:SHH721091 SRC721091:SRD721091 TAY721091:TAZ721091 TKU721091:TKV721091 TUQ721091:TUR721091 UEM721091:UEN721091 UOI721091:UOJ721091 UYE721091:UYF721091 VIA721091:VIB721091 VRW721091:VRX721091 WBS721091:WBT721091 WLO721091:WLP721091 WVK721091:WVL721091 C786627:D786627 IY786627:IZ786627 SU786627:SV786627 ACQ786627:ACR786627 AMM786627:AMN786627 AWI786627:AWJ786627 BGE786627:BGF786627 BQA786627:BQB786627 BZW786627:BZX786627 CJS786627:CJT786627 CTO786627:CTP786627 DDK786627:DDL786627 DNG786627:DNH786627 DXC786627:DXD786627 EGY786627:EGZ786627 EQU786627:EQV786627 FAQ786627:FAR786627 FKM786627:FKN786627 FUI786627:FUJ786627 GEE786627:GEF786627 GOA786627:GOB786627 GXW786627:GXX786627 HHS786627:HHT786627 HRO786627:HRP786627 IBK786627:IBL786627 ILG786627:ILH786627 IVC786627:IVD786627 JEY786627:JEZ786627 JOU786627:JOV786627 JYQ786627:JYR786627 KIM786627:KIN786627 KSI786627:KSJ786627 LCE786627:LCF786627 LMA786627:LMB786627 LVW786627:LVX786627 MFS786627:MFT786627 MPO786627:MPP786627 MZK786627:MZL786627 NJG786627:NJH786627 NTC786627:NTD786627 OCY786627:OCZ786627 OMU786627:OMV786627 OWQ786627:OWR786627 PGM786627:PGN786627 PQI786627:PQJ786627 QAE786627:QAF786627 QKA786627:QKB786627 QTW786627:QTX786627 RDS786627:RDT786627 RNO786627:RNP786627 RXK786627:RXL786627 SHG786627:SHH786627 SRC786627:SRD786627 TAY786627:TAZ786627 TKU786627:TKV786627 TUQ786627:TUR786627 UEM786627:UEN786627 UOI786627:UOJ786627 UYE786627:UYF786627 VIA786627:VIB786627 VRW786627:VRX786627 WBS786627:WBT786627 WLO786627:WLP786627 WVK786627:WVL786627 C852163:D852163 IY852163:IZ852163 SU852163:SV852163 ACQ852163:ACR852163 AMM852163:AMN852163 AWI852163:AWJ852163 BGE852163:BGF852163 BQA852163:BQB852163 BZW852163:BZX852163 CJS852163:CJT852163 CTO852163:CTP852163 DDK852163:DDL852163 DNG852163:DNH852163 DXC852163:DXD852163 EGY852163:EGZ852163 EQU852163:EQV852163 FAQ852163:FAR852163 FKM852163:FKN852163 FUI852163:FUJ852163 GEE852163:GEF852163 GOA852163:GOB852163 GXW852163:GXX852163 HHS852163:HHT852163 HRO852163:HRP852163 IBK852163:IBL852163 ILG852163:ILH852163 IVC852163:IVD852163 JEY852163:JEZ852163 JOU852163:JOV852163 JYQ852163:JYR852163 KIM852163:KIN852163 KSI852163:KSJ852163 LCE852163:LCF852163 LMA852163:LMB852163 LVW852163:LVX852163 MFS852163:MFT852163 MPO852163:MPP852163 MZK852163:MZL852163 NJG852163:NJH852163 NTC852163:NTD852163 OCY852163:OCZ852163 OMU852163:OMV852163 OWQ852163:OWR852163 PGM852163:PGN852163 PQI852163:PQJ852163 QAE852163:QAF852163 QKA852163:QKB852163 QTW852163:QTX852163 RDS852163:RDT852163 RNO852163:RNP852163 RXK852163:RXL852163 SHG852163:SHH852163 SRC852163:SRD852163 TAY852163:TAZ852163 TKU852163:TKV852163 TUQ852163:TUR852163 UEM852163:UEN852163 UOI852163:UOJ852163 UYE852163:UYF852163 VIA852163:VIB852163 VRW852163:VRX852163 WBS852163:WBT852163 WLO852163:WLP852163 WVK852163:WVL852163 C917699:D917699 IY917699:IZ917699 SU917699:SV917699 ACQ917699:ACR917699 AMM917699:AMN917699 AWI917699:AWJ917699 BGE917699:BGF917699 BQA917699:BQB917699 BZW917699:BZX917699 CJS917699:CJT917699 CTO917699:CTP917699 DDK917699:DDL917699 DNG917699:DNH917699 DXC917699:DXD917699 EGY917699:EGZ917699 EQU917699:EQV917699 FAQ917699:FAR917699 FKM917699:FKN917699 FUI917699:FUJ917699 GEE917699:GEF917699 GOA917699:GOB917699 GXW917699:GXX917699 HHS917699:HHT917699 HRO917699:HRP917699 IBK917699:IBL917699 ILG917699:ILH917699 IVC917699:IVD917699 JEY917699:JEZ917699 JOU917699:JOV917699 JYQ917699:JYR917699 KIM917699:KIN917699 KSI917699:KSJ917699 LCE917699:LCF917699 LMA917699:LMB917699 LVW917699:LVX917699 MFS917699:MFT917699 MPO917699:MPP917699 MZK917699:MZL917699 NJG917699:NJH917699 NTC917699:NTD917699 OCY917699:OCZ917699 OMU917699:OMV917699 OWQ917699:OWR917699 PGM917699:PGN917699 PQI917699:PQJ917699 QAE917699:QAF917699 QKA917699:QKB917699 QTW917699:QTX917699 RDS917699:RDT917699 RNO917699:RNP917699 RXK917699:RXL917699 SHG917699:SHH917699 SRC917699:SRD917699 TAY917699:TAZ917699 TKU917699:TKV917699 TUQ917699:TUR917699 UEM917699:UEN917699 UOI917699:UOJ917699 UYE917699:UYF917699 VIA917699:VIB917699 VRW917699:VRX917699 WBS917699:WBT917699 WLO917699:WLP917699 WVK917699:WVL917699 C983235:D983235 IY983235:IZ983235 SU983235:SV983235 ACQ983235:ACR983235 AMM983235:AMN983235 AWI983235:AWJ983235 BGE983235:BGF983235 BQA983235:BQB983235 BZW983235:BZX983235 CJS983235:CJT983235 CTO983235:CTP983235 DDK983235:DDL983235 DNG983235:DNH983235 DXC983235:DXD983235 EGY983235:EGZ983235 EQU983235:EQV983235 FAQ983235:FAR983235 FKM983235:FKN983235 FUI983235:FUJ983235 GEE983235:GEF983235 GOA983235:GOB983235 GXW983235:GXX983235 HHS983235:HHT983235 HRO983235:HRP983235 IBK983235:IBL983235 ILG983235:ILH983235 IVC983235:IVD983235 JEY983235:JEZ983235 JOU983235:JOV983235 JYQ983235:JYR983235 KIM983235:KIN983235 KSI983235:KSJ983235 LCE983235:LCF983235 LMA983235:LMB983235 LVW983235:LVX983235 MFS983235:MFT983235 MPO983235:MPP983235 MZK983235:MZL983235 NJG983235:NJH983235 NTC983235:NTD983235 OCY983235:OCZ983235 OMU983235:OMV983235 OWQ983235:OWR983235 PGM983235:PGN983235 PQI983235:PQJ983235 QAE983235:QAF983235 QKA983235:QKB983235 QTW983235:QTX983235 RDS983235:RDT983235 RNO983235:RNP983235 RXK983235:RXL983235 SHG983235:SHH983235 SRC983235:SRD983235 TAY983235:TAZ983235 TKU983235:TKV983235 TUQ983235:TUR983235 UEM983235:UEN983235 UOI983235:UOJ983235 UYE983235:UYF983235 VIA983235:VIB983235 VRW983235:VRX983235 WBS983235:WBT983235 WLO983235:WLP983235 WVK983235:WVL983235 E2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xm:sqref>
        </x14:dataValidation>
        <x14:dataValidation allowBlank="1" showInputMessage="1" prompt="Calendar year is automatically updated based on the year selected in cell B1" xr:uid="{430A1029-EE8B-4CEA-97EA-4856804DDB57}">
          <xm:sqref>B19 IX19 ST19 ACP19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B65555 IX65555 ST65555 ACP65555 AML65555 AWH65555 BGD65555 BPZ65555 BZV65555 CJR65555 CTN65555 DDJ65555 DNF65555 DXB65555 EGX65555 EQT65555 FAP65555 FKL65555 FUH65555 GED65555 GNZ65555 GXV65555 HHR65555 HRN65555 IBJ65555 ILF65555 IVB65555 JEX65555 JOT65555 JYP65555 KIL65555 KSH65555 LCD65555 LLZ65555 LVV65555 MFR65555 MPN65555 MZJ65555 NJF65555 NTB65555 OCX65555 OMT65555 OWP65555 PGL65555 PQH65555 QAD65555 QJZ65555 QTV65555 RDR65555 RNN65555 RXJ65555 SHF65555 SRB65555 TAX65555 TKT65555 TUP65555 UEL65555 UOH65555 UYD65555 VHZ65555 VRV65555 WBR65555 WLN65555 WVJ65555 B131091 IX131091 ST131091 ACP131091 AML131091 AWH131091 BGD131091 BPZ131091 BZV131091 CJR131091 CTN131091 DDJ131091 DNF131091 DXB131091 EGX131091 EQT131091 FAP131091 FKL131091 FUH131091 GED131091 GNZ131091 GXV131091 HHR131091 HRN131091 IBJ131091 ILF131091 IVB131091 JEX131091 JOT131091 JYP131091 KIL131091 KSH131091 LCD131091 LLZ131091 LVV131091 MFR131091 MPN131091 MZJ131091 NJF131091 NTB131091 OCX131091 OMT131091 OWP131091 PGL131091 PQH131091 QAD131091 QJZ131091 QTV131091 RDR131091 RNN131091 RXJ131091 SHF131091 SRB131091 TAX131091 TKT131091 TUP131091 UEL131091 UOH131091 UYD131091 VHZ131091 VRV131091 WBR131091 WLN131091 WVJ131091 B196627 IX196627 ST196627 ACP196627 AML196627 AWH196627 BGD196627 BPZ196627 BZV196627 CJR196627 CTN196627 DDJ196627 DNF196627 DXB196627 EGX196627 EQT196627 FAP196627 FKL196627 FUH196627 GED196627 GNZ196627 GXV196627 HHR196627 HRN196627 IBJ196627 ILF196627 IVB196627 JEX196627 JOT196627 JYP196627 KIL196627 KSH196627 LCD196627 LLZ196627 LVV196627 MFR196627 MPN196627 MZJ196627 NJF196627 NTB196627 OCX196627 OMT196627 OWP196627 PGL196627 PQH196627 QAD196627 QJZ196627 QTV196627 RDR196627 RNN196627 RXJ196627 SHF196627 SRB196627 TAX196627 TKT196627 TUP196627 UEL196627 UOH196627 UYD196627 VHZ196627 VRV196627 WBR196627 WLN196627 WVJ196627 B262163 IX262163 ST262163 ACP262163 AML262163 AWH262163 BGD262163 BPZ262163 BZV262163 CJR262163 CTN262163 DDJ262163 DNF262163 DXB262163 EGX262163 EQT262163 FAP262163 FKL262163 FUH262163 GED262163 GNZ262163 GXV262163 HHR262163 HRN262163 IBJ262163 ILF262163 IVB262163 JEX262163 JOT262163 JYP262163 KIL262163 KSH262163 LCD262163 LLZ262163 LVV262163 MFR262163 MPN262163 MZJ262163 NJF262163 NTB262163 OCX262163 OMT262163 OWP262163 PGL262163 PQH262163 QAD262163 QJZ262163 QTV262163 RDR262163 RNN262163 RXJ262163 SHF262163 SRB262163 TAX262163 TKT262163 TUP262163 UEL262163 UOH262163 UYD262163 VHZ262163 VRV262163 WBR262163 WLN262163 WVJ262163 B327699 IX327699 ST327699 ACP327699 AML327699 AWH327699 BGD327699 BPZ327699 BZV327699 CJR327699 CTN327699 DDJ327699 DNF327699 DXB327699 EGX327699 EQT327699 FAP327699 FKL327699 FUH327699 GED327699 GNZ327699 GXV327699 HHR327699 HRN327699 IBJ327699 ILF327699 IVB327699 JEX327699 JOT327699 JYP327699 KIL327699 KSH327699 LCD327699 LLZ327699 LVV327699 MFR327699 MPN327699 MZJ327699 NJF327699 NTB327699 OCX327699 OMT327699 OWP327699 PGL327699 PQH327699 QAD327699 QJZ327699 QTV327699 RDR327699 RNN327699 RXJ327699 SHF327699 SRB327699 TAX327699 TKT327699 TUP327699 UEL327699 UOH327699 UYD327699 VHZ327699 VRV327699 WBR327699 WLN327699 WVJ327699 B393235 IX393235 ST393235 ACP393235 AML393235 AWH393235 BGD393235 BPZ393235 BZV393235 CJR393235 CTN393235 DDJ393235 DNF393235 DXB393235 EGX393235 EQT393235 FAP393235 FKL393235 FUH393235 GED393235 GNZ393235 GXV393235 HHR393235 HRN393235 IBJ393235 ILF393235 IVB393235 JEX393235 JOT393235 JYP393235 KIL393235 KSH393235 LCD393235 LLZ393235 LVV393235 MFR393235 MPN393235 MZJ393235 NJF393235 NTB393235 OCX393235 OMT393235 OWP393235 PGL393235 PQH393235 QAD393235 QJZ393235 QTV393235 RDR393235 RNN393235 RXJ393235 SHF393235 SRB393235 TAX393235 TKT393235 TUP393235 UEL393235 UOH393235 UYD393235 VHZ393235 VRV393235 WBR393235 WLN393235 WVJ393235 B458771 IX458771 ST458771 ACP458771 AML458771 AWH458771 BGD458771 BPZ458771 BZV458771 CJR458771 CTN458771 DDJ458771 DNF458771 DXB458771 EGX458771 EQT458771 FAP458771 FKL458771 FUH458771 GED458771 GNZ458771 GXV458771 HHR458771 HRN458771 IBJ458771 ILF458771 IVB458771 JEX458771 JOT458771 JYP458771 KIL458771 KSH458771 LCD458771 LLZ458771 LVV458771 MFR458771 MPN458771 MZJ458771 NJF458771 NTB458771 OCX458771 OMT458771 OWP458771 PGL458771 PQH458771 QAD458771 QJZ458771 QTV458771 RDR458771 RNN458771 RXJ458771 SHF458771 SRB458771 TAX458771 TKT458771 TUP458771 UEL458771 UOH458771 UYD458771 VHZ458771 VRV458771 WBR458771 WLN458771 WVJ458771 B524307 IX524307 ST524307 ACP524307 AML524307 AWH524307 BGD524307 BPZ524307 BZV524307 CJR524307 CTN524307 DDJ524307 DNF524307 DXB524307 EGX524307 EQT524307 FAP524307 FKL524307 FUH524307 GED524307 GNZ524307 GXV524307 HHR524307 HRN524307 IBJ524307 ILF524307 IVB524307 JEX524307 JOT524307 JYP524307 KIL524307 KSH524307 LCD524307 LLZ524307 LVV524307 MFR524307 MPN524307 MZJ524307 NJF524307 NTB524307 OCX524307 OMT524307 OWP524307 PGL524307 PQH524307 QAD524307 QJZ524307 QTV524307 RDR524307 RNN524307 RXJ524307 SHF524307 SRB524307 TAX524307 TKT524307 TUP524307 UEL524307 UOH524307 UYD524307 VHZ524307 VRV524307 WBR524307 WLN524307 WVJ524307 B589843 IX589843 ST589843 ACP589843 AML589843 AWH589843 BGD589843 BPZ589843 BZV589843 CJR589843 CTN589843 DDJ589843 DNF589843 DXB589843 EGX589843 EQT589843 FAP589843 FKL589843 FUH589843 GED589843 GNZ589843 GXV589843 HHR589843 HRN589843 IBJ589843 ILF589843 IVB589843 JEX589843 JOT589843 JYP589843 KIL589843 KSH589843 LCD589843 LLZ589843 LVV589843 MFR589843 MPN589843 MZJ589843 NJF589843 NTB589843 OCX589843 OMT589843 OWP589843 PGL589843 PQH589843 QAD589843 QJZ589843 QTV589843 RDR589843 RNN589843 RXJ589843 SHF589843 SRB589843 TAX589843 TKT589843 TUP589843 UEL589843 UOH589843 UYD589843 VHZ589843 VRV589843 WBR589843 WLN589843 WVJ589843 B655379 IX655379 ST655379 ACP655379 AML655379 AWH655379 BGD655379 BPZ655379 BZV655379 CJR655379 CTN655379 DDJ655379 DNF655379 DXB655379 EGX655379 EQT655379 FAP655379 FKL655379 FUH655379 GED655379 GNZ655379 GXV655379 HHR655379 HRN655379 IBJ655379 ILF655379 IVB655379 JEX655379 JOT655379 JYP655379 KIL655379 KSH655379 LCD655379 LLZ655379 LVV655379 MFR655379 MPN655379 MZJ655379 NJF655379 NTB655379 OCX655379 OMT655379 OWP655379 PGL655379 PQH655379 QAD655379 QJZ655379 QTV655379 RDR655379 RNN655379 RXJ655379 SHF655379 SRB655379 TAX655379 TKT655379 TUP655379 UEL655379 UOH655379 UYD655379 VHZ655379 VRV655379 WBR655379 WLN655379 WVJ655379 B720915 IX720915 ST720915 ACP720915 AML720915 AWH720915 BGD720915 BPZ720915 BZV720915 CJR720915 CTN720915 DDJ720915 DNF720915 DXB720915 EGX720915 EQT720915 FAP720915 FKL720915 FUH720915 GED720915 GNZ720915 GXV720915 HHR720915 HRN720915 IBJ720915 ILF720915 IVB720915 JEX720915 JOT720915 JYP720915 KIL720915 KSH720915 LCD720915 LLZ720915 LVV720915 MFR720915 MPN720915 MZJ720915 NJF720915 NTB720915 OCX720915 OMT720915 OWP720915 PGL720915 PQH720915 QAD720915 QJZ720915 QTV720915 RDR720915 RNN720915 RXJ720915 SHF720915 SRB720915 TAX720915 TKT720915 TUP720915 UEL720915 UOH720915 UYD720915 VHZ720915 VRV720915 WBR720915 WLN720915 WVJ720915 B786451 IX786451 ST786451 ACP786451 AML786451 AWH786451 BGD786451 BPZ786451 BZV786451 CJR786451 CTN786451 DDJ786451 DNF786451 DXB786451 EGX786451 EQT786451 FAP786451 FKL786451 FUH786451 GED786451 GNZ786451 GXV786451 HHR786451 HRN786451 IBJ786451 ILF786451 IVB786451 JEX786451 JOT786451 JYP786451 KIL786451 KSH786451 LCD786451 LLZ786451 LVV786451 MFR786451 MPN786451 MZJ786451 NJF786451 NTB786451 OCX786451 OMT786451 OWP786451 PGL786451 PQH786451 QAD786451 QJZ786451 QTV786451 RDR786451 RNN786451 RXJ786451 SHF786451 SRB786451 TAX786451 TKT786451 TUP786451 UEL786451 UOH786451 UYD786451 VHZ786451 VRV786451 WBR786451 WLN786451 WVJ786451 B851987 IX851987 ST851987 ACP851987 AML851987 AWH851987 BGD851987 BPZ851987 BZV851987 CJR851987 CTN851987 DDJ851987 DNF851987 DXB851987 EGX851987 EQT851987 FAP851987 FKL851987 FUH851987 GED851987 GNZ851987 GXV851987 HHR851987 HRN851987 IBJ851987 ILF851987 IVB851987 JEX851987 JOT851987 JYP851987 KIL851987 KSH851987 LCD851987 LLZ851987 LVV851987 MFR851987 MPN851987 MZJ851987 NJF851987 NTB851987 OCX851987 OMT851987 OWP851987 PGL851987 PQH851987 QAD851987 QJZ851987 QTV851987 RDR851987 RNN851987 RXJ851987 SHF851987 SRB851987 TAX851987 TKT851987 TUP851987 UEL851987 UOH851987 UYD851987 VHZ851987 VRV851987 WBR851987 WLN851987 WVJ851987 B917523 IX917523 ST917523 ACP917523 AML917523 AWH917523 BGD917523 BPZ917523 BZV917523 CJR917523 CTN917523 DDJ917523 DNF917523 DXB917523 EGX917523 EQT917523 FAP917523 FKL917523 FUH917523 GED917523 GNZ917523 GXV917523 HHR917523 HRN917523 IBJ917523 ILF917523 IVB917523 JEX917523 JOT917523 JYP917523 KIL917523 KSH917523 LCD917523 LLZ917523 LVV917523 MFR917523 MPN917523 MZJ917523 NJF917523 NTB917523 OCX917523 OMT917523 OWP917523 PGL917523 PQH917523 QAD917523 QJZ917523 QTV917523 RDR917523 RNN917523 RXJ917523 SHF917523 SRB917523 TAX917523 TKT917523 TUP917523 UEL917523 UOH917523 UYD917523 VHZ917523 VRV917523 WBR917523 WLN917523 WVJ917523 B983059 IX983059 ST983059 ACP983059 AML983059 AWH983059 BGD983059 BPZ983059 BZV983059 CJR983059 CTN983059 DDJ983059 DNF983059 DXB983059 EGX983059 EQT983059 FAP983059 FKL983059 FUH983059 GED983059 GNZ983059 GXV983059 HHR983059 HRN983059 IBJ983059 ILF983059 IVB983059 JEX983059 JOT983059 JYP983059 KIL983059 KSH983059 LCD983059 LLZ983059 LVV983059 MFR983059 MPN983059 MZJ983059 NJF983059 NTB983059 OCX983059 OMT983059 OWP983059 PGL983059 PQH983059 QAD983059 QJZ983059 QTV983059 RDR983059 RNN983059 RXJ983059 SHF983059 SRB983059 TAX983059 TKT983059 TUP983059 UEL983059 UOH983059 UYD983059 VHZ983059 VRV983059 WBR983059 WLN983059 WVJ983059 B35 IX35 ST35 ACP35 AML35 AWH35 BGD35 BPZ35 BZV35 CJR35 CTN35 DDJ35 DNF35 DXB35 EGX35 EQT35 FAP35 FKL35 FUH35 GED35 GNZ35 GXV35 HHR35 HRN35 IBJ35 ILF35 IVB35 JEX35 JOT35 JYP35 KIL35 KSH35 LCD35 LLZ35 LVV35 MFR35 MPN35 MZJ35 NJF35 NTB35 OCX35 OMT35 OWP35 PGL35 PQH35 QAD35 QJZ35 QTV35 RDR35 RNN35 RXJ35 SHF35 SRB35 TAX35 TKT35 TUP35 UEL35 UOH35 UYD35 VHZ35 VRV35 WBR35 WLN35 WVJ35 B65571 IX65571 ST65571 ACP65571 AML65571 AWH65571 BGD65571 BPZ65571 BZV65571 CJR65571 CTN65571 DDJ65571 DNF65571 DXB65571 EGX65571 EQT65571 FAP65571 FKL65571 FUH65571 GED65571 GNZ65571 GXV65571 HHR65571 HRN65571 IBJ65571 ILF65571 IVB65571 JEX65571 JOT65571 JYP65571 KIL65571 KSH65571 LCD65571 LLZ65571 LVV65571 MFR65571 MPN65571 MZJ65571 NJF65571 NTB65571 OCX65571 OMT65571 OWP65571 PGL65571 PQH65571 QAD65571 QJZ65571 QTV65571 RDR65571 RNN65571 RXJ65571 SHF65571 SRB65571 TAX65571 TKT65571 TUP65571 UEL65571 UOH65571 UYD65571 VHZ65571 VRV65571 WBR65571 WLN65571 WVJ65571 B131107 IX131107 ST131107 ACP131107 AML131107 AWH131107 BGD131107 BPZ131107 BZV131107 CJR131107 CTN131107 DDJ131107 DNF131107 DXB131107 EGX131107 EQT131107 FAP131107 FKL131107 FUH131107 GED131107 GNZ131107 GXV131107 HHR131107 HRN131107 IBJ131107 ILF131107 IVB131107 JEX131107 JOT131107 JYP131107 KIL131107 KSH131107 LCD131107 LLZ131107 LVV131107 MFR131107 MPN131107 MZJ131107 NJF131107 NTB131107 OCX131107 OMT131107 OWP131107 PGL131107 PQH131107 QAD131107 QJZ131107 QTV131107 RDR131107 RNN131107 RXJ131107 SHF131107 SRB131107 TAX131107 TKT131107 TUP131107 UEL131107 UOH131107 UYD131107 VHZ131107 VRV131107 WBR131107 WLN131107 WVJ131107 B196643 IX196643 ST196643 ACP196643 AML196643 AWH196643 BGD196643 BPZ196643 BZV196643 CJR196643 CTN196643 DDJ196643 DNF196643 DXB196643 EGX196643 EQT196643 FAP196643 FKL196643 FUH196643 GED196643 GNZ196643 GXV196643 HHR196643 HRN196643 IBJ196643 ILF196643 IVB196643 JEX196643 JOT196643 JYP196643 KIL196643 KSH196643 LCD196643 LLZ196643 LVV196643 MFR196643 MPN196643 MZJ196643 NJF196643 NTB196643 OCX196643 OMT196643 OWP196643 PGL196643 PQH196643 QAD196643 QJZ196643 QTV196643 RDR196643 RNN196643 RXJ196643 SHF196643 SRB196643 TAX196643 TKT196643 TUP196643 UEL196643 UOH196643 UYD196643 VHZ196643 VRV196643 WBR196643 WLN196643 WVJ196643 B262179 IX262179 ST262179 ACP262179 AML262179 AWH262179 BGD262179 BPZ262179 BZV262179 CJR262179 CTN262179 DDJ262179 DNF262179 DXB262179 EGX262179 EQT262179 FAP262179 FKL262179 FUH262179 GED262179 GNZ262179 GXV262179 HHR262179 HRN262179 IBJ262179 ILF262179 IVB262179 JEX262179 JOT262179 JYP262179 KIL262179 KSH262179 LCD262179 LLZ262179 LVV262179 MFR262179 MPN262179 MZJ262179 NJF262179 NTB262179 OCX262179 OMT262179 OWP262179 PGL262179 PQH262179 QAD262179 QJZ262179 QTV262179 RDR262179 RNN262179 RXJ262179 SHF262179 SRB262179 TAX262179 TKT262179 TUP262179 UEL262179 UOH262179 UYD262179 VHZ262179 VRV262179 WBR262179 WLN262179 WVJ262179 B327715 IX327715 ST327715 ACP327715 AML327715 AWH327715 BGD327715 BPZ327715 BZV327715 CJR327715 CTN327715 DDJ327715 DNF327715 DXB327715 EGX327715 EQT327715 FAP327715 FKL327715 FUH327715 GED327715 GNZ327715 GXV327715 HHR327715 HRN327715 IBJ327715 ILF327715 IVB327715 JEX327715 JOT327715 JYP327715 KIL327715 KSH327715 LCD327715 LLZ327715 LVV327715 MFR327715 MPN327715 MZJ327715 NJF327715 NTB327715 OCX327715 OMT327715 OWP327715 PGL327715 PQH327715 QAD327715 QJZ327715 QTV327715 RDR327715 RNN327715 RXJ327715 SHF327715 SRB327715 TAX327715 TKT327715 TUP327715 UEL327715 UOH327715 UYD327715 VHZ327715 VRV327715 WBR327715 WLN327715 WVJ327715 B393251 IX393251 ST393251 ACP393251 AML393251 AWH393251 BGD393251 BPZ393251 BZV393251 CJR393251 CTN393251 DDJ393251 DNF393251 DXB393251 EGX393251 EQT393251 FAP393251 FKL393251 FUH393251 GED393251 GNZ393251 GXV393251 HHR393251 HRN393251 IBJ393251 ILF393251 IVB393251 JEX393251 JOT393251 JYP393251 KIL393251 KSH393251 LCD393251 LLZ393251 LVV393251 MFR393251 MPN393251 MZJ393251 NJF393251 NTB393251 OCX393251 OMT393251 OWP393251 PGL393251 PQH393251 QAD393251 QJZ393251 QTV393251 RDR393251 RNN393251 RXJ393251 SHF393251 SRB393251 TAX393251 TKT393251 TUP393251 UEL393251 UOH393251 UYD393251 VHZ393251 VRV393251 WBR393251 WLN393251 WVJ393251 B458787 IX458787 ST458787 ACP458787 AML458787 AWH458787 BGD458787 BPZ458787 BZV458787 CJR458787 CTN458787 DDJ458787 DNF458787 DXB458787 EGX458787 EQT458787 FAP458787 FKL458787 FUH458787 GED458787 GNZ458787 GXV458787 HHR458787 HRN458787 IBJ458787 ILF458787 IVB458787 JEX458787 JOT458787 JYP458787 KIL458787 KSH458787 LCD458787 LLZ458787 LVV458787 MFR458787 MPN458787 MZJ458787 NJF458787 NTB458787 OCX458787 OMT458787 OWP458787 PGL458787 PQH458787 QAD458787 QJZ458787 QTV458787 RDR458787 RNN458787 RXJ458787 SHF458787 SRB458787 TAX458787 TKT458787 TUP458787 UEL458787 UOH458787 UYD458787 VHZ458787 VRV458787 WBR458787 WLN458787 WVJ458787 B524323 IX524323 ST524323 ACP524323 AML524323 AWH524323 BGD524323 BPZ524323 BZV524323 CJR524323 CTN524323 DDJ524323 DNF524323 DXB524323 EGX524323 EQT524323 FAP524323 FKL524323 FUH524323 GED524323 GNZ524323 GXV524323 HHR524323 HRN524323 IBJ524323 ILF524323 IVB524323 JEX524323 JOT524323 JYP524323 KIL524323 KSH524323 LCD524323 LLZ524323 LVV524323 MFR524323 MPN524323 MZJ524323 NJF524323 NTB524323 OCX524323 OMT524323 OWP524323 PGL524323 PQH524323 QAD524323 QJZ524323 QTV524323 RDR524323 RNN524323 RXJ524323 SHF524323 SRB524323 TAX524323 TKT524323 TUP524323 UEL524323 UOH524323 UYD524323 VHZ524323 VRV524323 WBR524323 WLN524323 WVJ524323 B589859 IX589859 ST589859 ACP589859 AML589859 AWH589859 BGD589859 BPZ589859 BZV589859 CJR589859 CTN589859 DDJ589859 DNF589859 DXB589859 EGX589859 EQT589859 FAP589859 FKL589859 FUH589859 GED589859 GNZ589859 GXV589859 HHR589859 HRN589859 IBJ589859 ILF589859 IVB589859 JEX589859 JOT589859 JYP589859 KIL589859 KSH589859 LCD589859 LLZ589859 LVV589859 MFR589859 MPN589859 MZJ589859 NJF589859 NTB589859 OCX589859 OMT589859 OWP589859 PGL589859 PQH589859 QAD589859 QJZ589859 QTV589859 RDR589859 RNN589859 RXJ589859 SHF589859 SRB589859 TAX589859 TKT589859 TUP589859 UEL589859 UOH589859 UYD589859 VHZ589859 VRV589859 WBR589859 WLN589859 WVJ589859 B655395 IX655395 ST655395 ACP655395 AML655395 AWH655395 BGD655395 BPZ655395 BZV655395 CJR655395 CTN655395 DDJ655395 DNF655395 DXB655395 EGX655395 EQT655395 FAP655395 FKL655395 FUH655395 GED655395 GNZ655395 GXV655395 HHR655395 HRN655395 IBJ655395 ILF655395 IVB655395 JEX655395 JOT655395 JYP655395 KIL655395 KSH655395 LCD655395 LLZ655395 LVV655395 MFR655395 MPN655395 MZJ655395 NJF655395 NTB655395 OCX655395 OMT655395 OWP655395 PGL655395 PQH655395 QAD655395 QJZ655395 QTV655395 RDR655395 RNN655395 RXJ655395 SHF655395 SRB655395 TAX655395 TKT655395 TUP655395 UEL655395 UOH655395 UYD655395 VHZ655395 VRV655395 WBR655395 WLN655395 WVJ655395 B720931 IX720931 ST720931 ACP720931 AML720931 AWH720931 BGD720931 BPZ720931 BZV720931 CJR720931 CTN720931 DDJ720931 DNF720931 DXB720931 EGX720931 EQT720931 FAP720931 FKL720931 FUH720931 GED720931 GNZ720931 GXV720931 HHR720931 HRN720931 IBJ720931 ILF720931 IVB720931 JEX720931 JOT720931 JYP720931 KIL720931 KSH720931 LCD720931 LLZ720931 LVV720931 MFR720931 MPN720931 MZJ720931 NJF720931 NTB720931 OCX720931 OMT720931 OWP720931 PGL720931 PQH720931 QAD720931 QJZ720931 QTV720931 RDR720931 RNN720931 RXJ720931 SHF720931 SRB720931 TAX720931 TKT720931 TUP720931 UEL720931 UOH720931 UYD720931 VHZ720931 VRV720931 WBR720931 WLN720931 WVJ720931 B786467 IX786467 ST786467 ACP786467 AML786467 AWH786467 BGD786467 BPZ786467 BZV786467 CJR786467 CTN786467 DDJ786467 DNF786467 DXB786467 EGX786467 EQT786467 FAP786467 FKL786467 FUH786467 GED786467 GNZ786467 GXV786467 HHR786467 HRN786467 IBJ786467 ILF786467 IVB786467 JEX786467 JOT786467 JYP786467 KIL786467 KSH786467 LCD786467 LLZ786467 LVV786467 MFR786467 MPN786467 MZJ786467 NJF786467 NTB786467 OCX786467 OMT786467 OWP786467 PGL786467 PQH786467 QAD786467 QJZ786467 QTV786467 RDR786467 RNN786467 RXJ786467 SHF786467 SRB786467 TAX786467 TKT786467 TUP786467 UEL786467 UOH786467 UYD786467 VHZ786467 VRV786467 WBR786467 WLN786467 WVJ786467 B852003 IX852003 ST852003 ACP852003 AML852003 AWH852003 BGD852003 BPZ852003 BZV852003 CJR852003 CTN852003 DDJ852003 DNF852003 DXB852003 EGX852003 EQT852003 FAP852003 FKL852003 FUH852003 GED852003 GNZ852003 GXV852003 HHR852003 HRN852003 IBJ852003 ILF852003 IVB852003 JEX852003 JOT852003 JYP852003 KIL852003 KSH852003 LCD852003 LLZ852003 LVV852003 MFR852003 MPN852003 MZJ852003 NJF852003 NTB852003 OCX852003 OMT852003 OWP852003 PGL852003 PQH852003 QAD852003 QJZ852003 QTV852003 RDR852003 RNN852003 RXJ852003 SHF852003 SRB852003 TAX852003 TKT852003 TUP852003 UEL852003 UOH852003 UYD852003 VHZ852003 VRV852003 WBR852003 WLN852003 WVJ852003 B917539 IX917539 ST917539 ACP917539 AML917539 AWH917539 BGD917539 BPZ917539 BZV917539 CJR917539 CTN917539 DDJ917539 DNF917539 DXB917539 EGX917539 EQT917539 FAP917539 FKL917539 FUH917539 GED917539 GNZ917539 GXV917539 HHR917539 HRN917539 IBJ917539 ILF917539 IVB917539 JEX917539 JOT917539 JYP917539 KIL917539 KSH917539 LCD917539 LLZ917539 LVV917539 MFR917539 MPN917539 MZJ917539 NJF917539 NTB917539 OCX917539 OMT917539 OWP917539 PGL917539 PQH917539 QAD917539 QJZ917539 QTV917539 RDR917539 RNN917539 RXJ917539 SHF917539 SRB917539 TAX917539 TKT917539 TUP917539 UEL917539 UOH917539 UYD917539 VHZ917539 VRV917539 WBR917539 WLN917539 WVJ917539 B983075 IX983075 ST983075 ACP983075 AML983075 AWH983075 BGD983075 BPZ983075 BZV983075 CJR983075 CTN983075 DDJ983075 DNF983075 DXB983075 EGX983075 EQT983075 FAP983075 FKL983075 FUH983075 GED983075 GNZ983075 GXV983075 HHR983075 HRN983075 IBJ983075 ILF983075 IVB983075 JEX983075 JOT983075 JYP983075 KIL983075 KSH983075 LCD983075 LLZ983075 LVV983075 MFR983075 MPN983075 MZJ983075 NJF983075 NTB983075 OCX983075 OMT983075 OWP983075 PGL983075 PQH983075 QAD983075 QJZ983075 QTV983075 RDR983075 RNN983075 RXJ983075 SHF983075 SRB983075 TAX983075 TKT983075 TUP983075 UEL983075 UOH983075 UYD983075 VHZ983075 VRV983075 WBR983075 WLN983075 WVJ983075 B51 IX51 ST51 ACP51 AML51 AWH51 BGD51 BPZ51 BZV51 CJR51 CTN51 DDJ51 DNF51 DXB51 EGX51 EQT51 FAP51 FKL51 FUH51 GED51 GNZ51 GXV51 HHR51 HRN51 IBJ51 ILF51 IVB51 JEX51 JOT51 JYP51 KIL51 KSH51 LCD51 LLZ51 LVV51 MFR51 MPN51 MZJ51 NJF51 NTB51 OCX51 OMT51 OWP51 PGL51 PQH51 QAD51 QJZ51 QTV51 RDR51 RNN51 RXJ51 SHF51 SRB51 TAX51 TKT51 TUP51 UEL51 UOH51 UYD51 VHZ51 VRV51 WBR51 WLN51 WVJ51 B65587 IX65587 ST65587 ACP65587 AML65587 AWH65587 BGD65587 BPZ65587 BZV65587 CJR65587 CTN65587 DDJ65587 DNF65587 DXB65587 EGX65587 EQT65587 FAP65587 FKL65587 FUH65587 GED65587 GNZ65587 GXV65587 HHR65587 HRN65587 IBJ65587 ILF65587 IVB65587 JEX65587 JOT65587 JYP65587 KIL65587 KSH65587 LCD65587 LLZ65587 LVV65587 MFR65587 MPN65587 MZJ65587 NJF65587 NTB65587 OCX65587 OMT65587 OWP65587 PGL65587 PQH65587 QAD65587 QJZ65587 QTV65587 RDR65587 RNN65587 RXJ65587 SHF65587 SRB65587 TAX65587 TKT65587 TUP65587 UEL65587 UOH65587 UYD65587 VHZ65587 VRV65587 WBR65587 WLN65587 WVJ65587 B131123 IX131123 ST131123 ACP131123 AML131123 AWH131123 BGD131123 BPZ131123 BZV131123 CJR131123 CTN131123 DDJ131123 DNF131123 DXB131123 EGX131123 EQT131123 FAP131123 FKL131123 FUH131123 GED131123 GNZ131123 GXV131123 HHR131123 HRN131123 IBJ131123 ILF131123 IVB131123 JEX131123 JOT131123 JYP131123 KIL131123 KSH131123 LCD131123 LLZ131123 LVV131123 MFR131123 MPN131123 MZJ131123 NJF131123 NTB131123 OCX131123 OMT131123 OWP131123 PGL131123 PQH131123 QAD131123 QJZ131123 QTV131123 RDR131123 RNN131123 RXJ131123 SHF131123 SRB131123 TAX131123 TKT131123 TUP131123 UEL131123 UOH131123 UYD131123 VHZ131123 VRV131123 WBR131123 WLN131123 WVJ131123 B196659 IX196659 ST196659 ACP196659 AML196659 AWH196659 BGD196659 BPZ196659 BZV196659 CJR196659 CTN196659 DDJ196659 DNF196659 DXB196659 EGX196659 EQT196659 FAP196659 FKL196659 FUH196659 GED196659 GNZ196659 GXV196659 HHR196659 HRN196659 IBJ196659 ILF196659 IVB196659 JEX196659 JOT196659 JYP196659 KIL196659 KSH196659 LCD196659 LLZ196659 LVV196659 MFR196659 MPN196659 MZJ196659 NJF196659 NTB196659 OCX196659 OMT196659 OWP196659 PGL196659 PQH196659 QAD196659 QJZ196659 QTV196659 RDR196659 RNN196659 RXJ196659 SHF196659 SRB196659 TAX196659 TKT196659 TUP196659 UEL196659 UOH196659 UYD196659 VHZ196659 VRV196659 WBR196659 WLN196659 WVJ196659 B262195 IX262195 ST262195 ACP262195 AML262195 AWH262195 BGD262195 BPZ262195 BZV262195 CJR262195 CTN262195 DDJ262195 DNF262195 DXB262195 EGX262195 EQT262195 FAP262195 FKL262195 FUH262195 GED262195 GNZ262195 GXV262195 HHR262195 HRN262195 IBJ262195 ILF262195 IVB262195 JEX262195 JOT262195 JYP262195 KIL262195 KSH262195 LCD262195 LLZ262195 LVV262195 MFR262195 MPN262195 MZJ262195 NJF262195 NTB262195 OCX262195 OMT262195 OWP262195 PGL262195 PQH262195 QAD262195 QJZ262195 QTV262195 RDR262195 RNN262195 RXJ262195 SHF262195 SRB262195 TAX262195 TKT262195 TUP262195 UEL262195 UOH262195 UYD262195 VHZ262195 VRV262195 WBR262195 WLN262195 WVJ262195 B327731 IX327731 ST327731 ACP327731 AML327731 AWH327731 BGD327731 BPZ327731 BZV327731 CJR327731 CTN327731 DDJ327731 DNF327731 DXB327731 EGX327731 EQT327731 FAP327731 FKL327731 FUH327731 GED327731 GNZ327731 GXV327731 HHR327731 HRN327731 IBJ327731 ILF327731 IVB327731 JEX327731 JOT327731 JYP327731 KIL327731 KSH327731 LCD327731 LLZ327731 LVV327731 MFR327731 MPN327731 MZJ327731 NJF327731 NTB327731 OCX327731 OMT327731 OWP327731 PGL327731 PQH327731 QAD327731 QJZ327731 QTV327731 RDR327731 RNN327731 RXJ327731 SHF327731 SRB327731 TAX327731 TKT327731 TUP327731 UEL327731 UOH327731 UYD327731 VHZ327731 VRV327731 WBR327731 WLN327731 WVJ327731 B393267 IX393267 ST393267 ACP393267 AML393267 AWH393267 BGD393267 BPZ393267 BZV393267 CJR393267 CTN393267 DDJ393267 DNF393267 DXB393267 EGX393267 EQT393267 FAP393267 FKL393267 FUH393267 GED393267 GNZ393267 GXV393267 HHR393267 HRN393267 IBJ393267 ILF393267 IVB393267 JEX393267 JOT393267 JYP393267 KIL393267 KSH393267 LCD393267 LLZ393267 LVV393267 MFR393267 MPN393267 MZJ393267 NJF393267 NTB393267 OCX393267 OMT393267 OWP393267 PGL393267 PQH393267 QAD393267 QJZ393267 QTV393267 RDR393267 RNN393267 RXJ393267 SHF393267 SRB393267 TAX393267 TKT393267 TUP393267 UEL393267 UOH393267 UYD393267 VHZ393267 VRV393267 WBR393267 WLN393267 WVJ393267 B458803 IX458803 ST458803 ACP458803 AML458803 AWH458803 BGD458803 BPZ458803 BZV458803 CJR458803 CTN458803 DDJ458803 DNF458803 DXB458803 EGX458803 EQT458803 FAP458803 FKL458803 FUH458803 GED458803 GNZ458803 GXV458803 HHR458803 HRN458803 IBJ458803 ILF458803 IVB458803 JEX458803 JOT458803 JYP458803 KIL458803 KSH458803 LCD458803 LLZ458803 LVV458803 MFR458803 MPN458803 MZJ458803 NJF458803 NTB458803 OCX458803 OMT458803 OWP458803 PGL458803 PQH458803 QAD458803 QJZ458803 QTV458803 RDR458803 RNN458803 RXJ458803 SHF458803 SRB458803 TAX458803 TKT458803 TUP458803 UEL458803 UOH458803 UYD458803 VHZ458803 VRV458803 WBR458803 WLN458803 WVJ458803 B524339 IX524339 ST524339 ACP524339 AML524339 AWH524339 BGD524339 BPZ524339 BZV524339 CJR524339 CTN524339 DDJ524339 DNF524339 DXB524339 EGX524339 EQT524339 FAP524339 FKL524339 FUH524339 GED524339 GNZ524339 GXV524339 HHR524339 HRN524339 IBJ524339 ILF524339 IVB524339 JEX524339 JOT524339 JYP524339 KIL524339 KSH524339 LCD524339 LLZ524339 LVV524339 MFR524339 MPN524339 MZJ524339 NJF524339 NTB524339 OCX524339 OMT524339 OWP524339 PGL524339 PQH524339 QAD524339 QJZ524339 QTV524339 RDR524339 RNN524339 RXJ524339 SHF524339 SRB524339 TAX524339 TKT524339 TUP524339 UEL524339 UOH524339 UYD524339 VHZ524339 VRV524339 WBR524339 WLN524339 WVJ524339 B589875 IX589875 ST589875 ACP589875 AML589875 AWH589875 BGD589875 BPZ589875 BZV589875 CJR589875 CTN589875 DDJ589875 DNF589875 DXB589875 EGX589875 EQT589875 FAP589875 FKL589875 FUH589875 GED589875 GNZ589875 GXV589875 HHR589875 HRN589875 IBJ589875 ILF589875 IVB589875 JEX589875 JOT589875 JYP589875 KIL589875 KSH589875 LCD589875 LLZ589875 LVV589875 MFR589875 MPN589875 MZJ589875 NJF589875 NTB589875 OCX589875 OMT589875 OWP589875 PGL589875 PQH589875 QAD589875 QJZ589875 QTV589875 RDR589875 RNN589875 RXJ589875 SHF589875 SRB589875 TAX589875 TKT589875 TUP589875 UEL589875 UOH589875 UYD589875 VHZ589875 VRV589875 WBR589875 WLN589875 WVJ589875 B655411 IX655411 ST655411 ACP655411 AML655411 AWH655411 BGD655411 BPZ655411 BZV655411 CJR655411 CTN655411 DDJ655411 DNF655411 DXB655411 EGX655411 EQT655411 FAP655411 FKL655411 FUH655411 GED655411 GNZ655411 GXV655411 HHR655411 HRN655411 IBJ655411 ILF655411 IVB655411 JEX655411 JOT655411 JYP655411 KIL655411 KSH655411 LCD655411 LLZ655411 LVV655411 MFR655411 MPN655411 MZJ655411 NJF655411 NTB655411 OCX655411 OMT655411 OWP655411 PGL655411 PQH655411 QAD655411 QJZ655411 QTV655411 RDR655411 RNN655411 RXJ655411 SHF655411 SRB655411 TAX655411 TKT655411 TUP655411 UEL655411 UOH655411 UYD655411 VHZ655411 VRV655411 WBR655411 WLN655411 WVJ655411 B720947 IX720947 ST720947 ACP720947 AML720947 AWH720947 BGD720947 BPZ720947 BZV720947 CJR720947 CTN720947 DDJ720947 DNF720947 DXB720947 EGX720947 EQT720947 FAP720947 FKL720947 FUH720947 GED720947 GNZ720947 GXV720947 HHR720947 HRN720947 IBJ720947 ILF720947 IVB720947 JEX720947 JOT720947 JYP720947 KIL720947 KSH720947 LCD720947 LLZ720947 LVV720947 MFR720947 MPN720947 MZJ720947 NJF720947 NTB720947 OCX720947 OMT720947 OWP720947 PGL720947 PQH720947 QAD720947 QJZ720947 QTV720947 RDR720947 RNN720947 RXJ720947 SHF720947 SRB720947 TAX720947 TKT720947 TUP720947 UEL720947 UOH720947 UYD720947 VHZ720947 VRV720947 WBR720947 WLN720947 WVJ720947 B786483 IX786483 ST786483 ACP786483 AML786483 AWH786483 BGD786483 BPZ786483 BZV786483 CJR786483 CTN786483 DDJ786483 DNF786483 DXB786483 EGX786483 EQT786483 FAP786483 FKL786483 FUH786483 GED786483 GNZ786483 GXV786483 HHR786483 HRN786483 IBJ786483 ILF786483 IVB786483 JEX786483 JOT786483 JYP786483 KIL786483 KSH786483 LCD786483 LLZ786483 LVV786483 MFR786483 MPN786483 MZJ786483 NJF786483 NTB786483 OCX786483 OMT786483 OWP786483 PGL786483 PQH786483 QAD786483 QJZ786483 QTV786483 RDR786483 RNN786483 RXJ786483 SHF786483 SRB786483 TAX786483 TKT786483 TUP786483 UEL786483 UOH786483 UYD786483 VHZ786483 VRV786483 WBR786483 WLN786483 WVJ786483 B852019 IX852019 ST852019 ACP852019 AML852019 AWH852019 BGD852019 BPZ852019 BZV852019 CJR852019 CTN852019 DDJ852019 DNF852019 DXB852019 EGX852019 EQT852019 FAP852019 FKL852019 FUH852019 GED852019 GNZ852019 GXV852019 HHR852019 HRN852019 IBJ852019 ILF852019 IVB852019 JEX852019 JOT852019 JYP852019 KIL852019 KSH852019 LCD852019 LLZ852019 LVV852019 MFR852019 MPN852019 MZJ852019 NJF852019 NTB852019 OCX852019 OMT852019 OWP852019 PGL852019 PQH852019 QAD852019 QJZ852019 QTV852019 RDR852019 RNN852019 RXJ852019 SHF852019 SRB852019 TAX852019 TKT852019 TUP852019 UEL852019 UOH852019 UYD852019 VHZ852019 VRV852019 WBR852019 WLN852019 WVJ852019 B917555 IX917555 ST917555 ACP917555 AML917555 AWH917555 BGD917555 BPZ917555 BZV917555 CJR917555 CTN917555 DDJ917555 DNF917555 DXB917555 EGX917555 EQT917555 FAP917555 FKL917555 FUH917555 GED917555 GNZ917555 GXV917555 HHR917555 HRN917555 IBJ917555 ILF917555 IVB917555 JEX917555 JOT917555 JYP917555 KIL917555 KSH917555 LCD917555 LLZ917555 LVV917555 MFR917555 MPN917555 MZJ917555 NJF917555 NTB917555 OCX917555 OMT917555 OWP917555 PGL917555 PQH917555 QAD917555 QJZ917555 QTV917555 RDR917555 RNN917555 RXJ917555 SHF917555 SRB917555 TAX917555 TKT917555 TUP917555 UEL917555 UOH917555 UYD917555 VHZ917555 VRV917555 WBR917555 WLN917555 WVJ917555 B983091 IX983091 ST983091 ACP983091 AML983091 AWH983091 BGD983091 BPZ983091 BZV983091 CJR983091 CTN983091 DDJ983091 DNF983091 DXB983091 EGX983091 EQT983091 FAP983091 FKL983091 FUH983091 GED983091 GNZ983091 GXV983091 HHR983091 HRN983091 IBJ983091 ILF983091 IVB983091 JEX983091 JOT983091 JYP983091 KIL983091 KSH983091 LCD983091 LLZ983091 LVV983091 MFR983091 MPN983091 MZJ983091 NJF983091 NTB983091 OCX983091 OMT983091 OWP983091 PGL983091 PQH983091 QAD983091 QJZ983091 QTV983091 RDR983091 RNN983091 RXJ983091 SHF983091 SRB983091 TAX983091 TKT983091 TUP983091 UEL983091 UOH983091 UYD983091 VHZ983091 VRV983091 WBR983091 WLN983091 WVJ983091 B67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B65603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B131139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B196675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B262211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B327747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B393283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B458819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B524355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B589891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B655427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B720963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B786499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B852035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B917571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B983107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B83 IX83 ST83 ACP83 AML83 AWH83 BGD83 BPZ83 BZV83 CJR83 CTN83 DDJ83 DNF83 DXB83 EGX83 EQT83 FAP83 FKL83 FUH83 GED83 GNZ83 GXV83 HHR83 HRN83 IBJ83 ILF83 IVB83 JEX83 JOT83 JYP83 KIL83 KSH83 LCD83 LLZ83 LVV83 MFR83 MPN83 MZJ83 NJF83 NTB83 OCX83 OMT83 OWP83 PGL83 PQH83 QAD83 QJZ83 QTV83 RDR83 RNN83 RXJ83 SHF83 SRB83 TAX83 TKT83 TUP83 UEL83 UOH83 UYD83 VHZ83 VRV83 WBR83 WLN83 WVJ83 B65619 IX65619 ST65619 ACP65619 AML65619 AWH65619 BGD65619 BPZ65619 BZV65619 CJR65619 CTN65619 DDJ65619 DNF65619 DXB65619 EGX65619 EQT65619 FAP65619 FKL65619 FUH65619 GED65619 GNZ65619 GXV65619 HHR65619 HRN65619 IBJ65619 ILF65619 IVB65619 JEX65619 JOT65619 JYP65619 KIL65619 KSH65619 LCD65619 LLZ65619 LVV65619 MFR65619 MPN65619 MZJ65619 NJF65619 NTB65619 OCX65619 OMT65619 OWP65619 PGL65619 PQH65619 QAD65619 QJZ65619 QTV65619 RDR65619 RNN65619 RXJ65619 SHF65619 SRB65619 TAX65619 TKT65619 TUP65619 UEL65619 UOH65619 UYD65619 VHZ65619 VRV65619 WBR65619 WLN65619 WVJ65619 B131155 IX131155 ST131155 ACP131155 AML131155 AWH131155 BGD131155 BPZ131155 BZV131155 CJR131155 CTN131155 DDJ131155 DNF131155 DXB131155 EGX131155 EQT131155 FAP131155 FKL131155 FUH131155 GED131155 GNZ131155 GXV131155 HHR131155 HRN131155 IBJ131155 ILF131155 IVB131155 JEX131155 JOT131155 JYP131155 KIL131155 KSH131155 LCD131155 LLZ131155 LVV131155 MFR131155 MPN131155 MZJ131155 NJF131155 NTB131155 OCX131155 OMT131155 OWP131155 PGL131155 PQH131155 QAD131155 QJZ131155 QTV131155 RDR131155 RNN131155 RXJ131155 SHF131155 SRB131155 TAX131155 TKT131155 TUP131155 UEL131155 UOH131155 UYD131155 VHZ131155 VRV131155 WBR131155 WLN131155 WVJ131155 B196691 IX196691 ST196691 ACP196691 AML196691 AWH196691 BGD196691 BPZ196691 BZV196691 CJR196691 CTN196691 DDJ196691 DNF196691 DXB196691 EGX196691 EQT196691 FAP196691 FKL196691 FUH196691 GED196691 GNZ196691 GXV196691 HHR196691 HRN196691 IBJ196691 ILF196691 IVB196691 JEX196691 JOT196691 JYP196691 KIL196691 KSH196691 LCD196691 LLZ196691 LVV196691 MFR196691 MPN196691 MZJ196691 NJF196691 NTB196691 OCX196691 OMT196691 OWP196691 PGL196691 PQH196691 QAD196691 QJZ196691 QTV196691 RDR196691 RNN196691 RXJ196691 SHF196691 SRB196691 TAX196691 TKT196691 TUP196691 UEL196691 UOH196691 UYD196691 VHZ196691 VRV196691 WBR196691 WLN196691 WVJ196691 B262227 IX262227 ST262227 ACP262227 AML262227 AWH262227 BGD262227 BPZ262227 BZV262227 CJR262227 CTN262227 DDJ262227 DNF262227 DXB262227 EGX262227 EQT262227 FAP262227 FKL262227 FUH262227 GED262227 GNZ262227 GXV262227 HHR262227 HRN262227 IBJ262227 ILF262227 IVB262227 JEX262227 JOT262227 JYP262227 KIL262227 KSH262227 LCD262227 LLZ262227 LVV262227 MFR262227 MPN262227 MZJ262227 NJF262227 NTB262227 OCX262227 OMT262227 OWP262227 PGL262227 PQH262227 QAD262227 QJZ262227 QTV262227 RDR262227 RNN262227 RXJ262227 SHF262227 SRB262227 TAX262227 TKT262227 TUP262227 UEL262227 UOH262227 UYD262227 VHZ262227 VRV262227 WBR262227 WLN262227 WVJ262227 B327763 IX327763 ST327763 ACP327763 AML327763 AWH327763 BGD327763 BPZ327763 BZV327763 CJR327763 CTN327763 DDJ327763 DNF327763 DXB327763 EGX327763 EQT327763 FAP327763 FKL327763 FUH327763 GED327763 GNZ327763 GXV327763 HHR327763 HRN327763 IBJ327763 ILF327763 IVB327763 JEX327763 JOT327763 JYP327763 KIL327763 KSH327763 LCD327763 LLZ327763 LVV327763 MFR327763 MPN327763 MZJ327763 NJF327763 NTB327763 OCX327763 OMT327763 OWP327763 PGL327763 PQH327763 QAD327763 QJZ327763 QTV327763 RDR327763 RNN327763 RXJ327763 SHF327763 SRB327763 TAX327763 TKT327763 TUP327763 UEL327763 UOH327763 UYD327763 VHZ327763 VRV327763 WBR327763 WLN327763 WVJ327763 B393299 IX393299 ST393299 ACP393299 AML393299 AWH393299 BGD393299 BPZ393299 BZV393299 CJR393299 CTN393299 DDJ393299 DNF393299 DXB393299 EGX393299 EQT393299 FAP393299 FKL393299 FUH393299 GED393299 GNZ393299 GXV393299 HHR393299 HRN393299 IBJ393299 ILF393299 IVB393299 JEX393299 JOT393299 JYP393299 KIL393299 KSH393299 LCD393299 LLZ393299 LVV393299 MFR393299 MPN393299 MZJ393299 NJF393299 NTB393299 OCX393299 OMT393299 OWP393299 PGL393299 PQH393299 QAD393299 QJZ393299 QTV393299 RDR393299 RNN393299 RXJ393299 SHF393299 SRB393299 TAX393299 TKT393299 TUP393299 UEL393299 UOH393299 UYD393299 VHZ393299 VRV393299 WBR393299 WLN393299 WVJ393299 B458835 IX458835 ST458835 ACP458835 AML458835 AWH458835 BGD458835 BPZ458835 BZV458835 CJR458835 CTN458835 DDJ458835 DNF458835 DXB458835 EGX458835 EQT458835 FAP458835 FKL458835 FUH458835 GED458835 GNZ458835 GXV458835 HHR458835 HRN458835 IBJ458835 ILF458835 IVB458835 JEX458835 JOT458835 JYP458835 KIL458835 KSH458835 LCD458835 LLZ458835 LVV458835 MFR458835 MPN458835 MZJ458835 NJF458835 NTB458835 OCX458835 OMT458835 OWP458835 PGL458835 PQH458835 QAD458835 QJZ458835 QTV458835 RDR458835 RNN458835 RXJ458835 SHF458835 SRB458835 TAX458835 TKT458835 TUP458835 UEL458835 UOH458835 UYD458835 VHZ458835 VRV458835 WBR458835 WLN458835 WVJ458835 B524371 IX524371 ST524371 ACP524371 AML524371 AWH524371 BGD524371 BPZ524371 BZV524371 CJR524371 CTN524371 DDJ524371 DNF524371 DXB524371 EGX524371 EQT524371 FAP524371 FKL524371 FUH524371 GED524371 GNZ524371 GXV524371 HHR524371 HRN524371 IBJ524371 ILF524371 IVB524371 JEX524371 JOT524371 JYP524371 KIL524371 KSH524371 LCD524371 LLZ524371 LVV524371 MFR524371 MPN524371 MZJ524371 NJF524371 NTB524371 OCX524371 OMT524371 OWP524371 PGL524371 PQH524371 QAD524371 QJZ524371 QTV524371 RDR524371 RNN524371 RXJ524371 SHF524371 SRB524371 TAX524371 TKT524371 TUP524371 UEL524371 UOH524371 UYD524371 VHZ524371 VRV524371 WBR524371 WLN524371 WVJ524371 B589907 IX589907 ST589907 ACP589907 AML589907 AWH589907 BGD589907 BPZ589907 BZV589907 CJR589907 CTN589907 DDJ589907 DNF589907 DXB589907 EGX589907 EQT589907 FAP589907 FKL589907 FUH589907 GED589907 GNZ589907 GXV589907 HHR589907 HRN589907 IBJ589907 ILF589907 IVB589907 JEX589907 JOT589907 JYP589907 KIL589907 KSH589907 LCD589907 LLZ589907 LVV589907 MFR589907 MPN589907 MZJ589907 NJF589907 NTB589907 OCX589907 OMT589907 OWP589907 PGL589907 PQH589907 QAD589907 QJZ589907 QTV589907 RDR589907 RNN589907 RXJ589907 SHF589907 SRB589907 TAX589907 TKT589907 TUP589907 UEL589907 UOH589907 UYD589907 VHZ589907 VRV589907 WBR589907 WLN589907 WVJ589907 B655443 IX655443 ST655443 ACP655443 AML655443 AWH655443 BGD655443 BPZ655443 BZV655443 CJR655443 CTN655443 DDJ655443 DNF655443 DXB655443 EGX655443 EQT655443 FAP655443 FKL655443 FUH655443 GED655443 GNZ655443 GXV655443 HHR655443 HRN655443 IBJ655443 ILF655443 IVB655443 JEX655443 JOT655443 JYP655443 KIL655443 KSH655443 LCD655443 LLZ655443 LVV655443 MFR655443 MPN655443 MZJ655443 NJF655443 NTB655443 OCX655443 OMT655443 OWP655443 PGL655443 PQH655443 QAD655443 QJZ655443 QTV655443 RDR655443 RNN655443 RXJ655443 SHF655443 SRB655443 TAX655443 TKT655443 TUP655443 UEL655443 UOH655443 UYD655443 VHZ655443 VRV655443 WBR655443 WLN655443 WVJ655443 B720979 IX720979 ST720979 ACP720979 AML720979 AWH720979 BGD720979 BPZ720979 BZV720979 CJR720979 CTN720979 DDJ720979 DNF720979 DXB720979 EGX720979 EQT720979 FAP720979 FKL720979 FUH720979 GED720979 GNZ720979 GXV720979 HHR720979 HRN720979 IBJ720979 ILF720979 IVB720979 JEX720979 JOT720979 JYP720979 KIL720979 KSH720979 LCD720979 LLZ720979 LVV720979 MFR720979 MPN720979 MZJ720979 NJF720979 NTB720979 OCX720979 OMT720979 OWP720979 PGL720979 PQH720979 QAD720979 QJZ720979 QTV720979 RDR720979 RNN720979 RXJ720979 SHF720979 SRB720979 TAX720979 TKT720979 TUP720979 UEL720979 UOH720979 UYD720979 VHZ720979 VRV720979 WBR720979 WLN720979 WVJ720979 B786515 IX786515 ST786515 ACP786515 AML786515 AWH786515 BGD786515 BPZ786515 BZV786515 CJR786515 CTN786515 DDJ786515 DNF786515 DXB786515 EGX786515 EQT786515 FAP786515 FKL786515 FUH786515 GED786515 GNZ786515 GXV786515 HHR786515 HRN786515 IBJ786515 ILF786515 IVB786515 JEX786515 JOT786515 JYP786515 KIL786515 KSH786515 LCD786515 LLZ786515 LVV786515 MFR786515 MPN786515 MZJ786515 NJF786515 NTB786515 OCX786515 OMT786515 OWP786515 PGL786515 PQH786515 QAD786515 QJZ786515 QTV786515 RDR786515 RNN786515 RXJ786515 SHF786515 SRB786515 TAX786515 TKT786515 TUP786515 UEL786515 UOH786515 UYD786515 VHZ786515 VRV786515 WBR786515 WLN786515 WVJ786515 B852051 IX852051 ST852051 ACP852051 AML852051 AWH852051 BGD852051 BPZ852051 BZV852051 CJR852051 CTN852051 DDJ852051 DNF852051 DXB852051 EGX852051 EQT852051 FAP852051 FKL852051 FUH852051 GED852051 GNZ852051 GXV852051 HHR852051 HRN852051 IBJ852051 ILF852051 IVB852051 JEX852051 JOT852051 JYP852051 KIL852051 KSH852051 LCD852051 LLZ852051 LVV852051 MFR852051 MPN852051 MZJ852051 NJF852051 NTB852051 OCX852051 OMT852051 OWP852051 PGL852051 PQH852051 QAD852051 QJZ852051 QTV852051 RDR852051 RNN852051 RXJ852051 SHF852051 SRB852051 TAX852051 TKT852051 TUP852051 UEL852051 UOH852051 UYD852051 VHZ852051 VRV852051 WBR852051 WLN852051 WVJ852051 B917587 IX917587 ST917587 ACP917587 AML917587 AWH917587 BGD917587 BPZ917587 BZV917587 CJR917587 CTN917587 DDJ917587 DNF917587 DXB917587 EGX917587 EQT917587 FAP917587 FKL917587 FUH917587 GED917587 GNZ917587 GXV917587 HHR917587 HRN917587 IBJ917587 ILF917587 IVB917587 JEX917587 JOT917587 JYP917587 KIL917587 KSH917587 LCD917587 LLZ917587 LVV917587 MFR917587 MPN917587 MZJ917587 NJF917587 NTB917587 OCX917587 OMT917587 OWP917587 PGL917587 PQH917587 QAD917587 QJZ917587 QTV917587 RDR917587 RNN917587 RXJ917587 SHF917587 SRB917587 TAX917587 TKT917587 TUP917587 UEL917587 UOH917587 UYD917587 VHZ917587 VRV917587 WBR917587 WLN917587 WVJ917587 B983123 IX983123 ST983123 ACP983123 AML983123 AWH983123 BGD983123 BPZ983123 BZV983123 CJR983123 CTN983123 DDJ983123 DNF983123 DXB983123 EGX983123 EQT983123 FAP983123 FKL983123 FUH983123 GED983123 GNZ983123 GXV983123 HHR983123 HRN983123 IBJ983123 ILF983123 IVB983123 JEX983123 JOT983123 JYP983123 KIL983123 KSH983123 LCD983123 LLZ983123 LVV983123 MFR983123 MPN983123 MZJ983123 NJF983123 NTB983123 OCX983123 OMT983123 OWP983123 PGL983123 PQH983123 QAD983123 QJZ983123 QTV983123 RDR983123 RNN983123 RXJ983123 SHF983123 SRB983123 TAX983123 TKT983123 TUP983123 UEL983123 UOH983123 UYD983123 VHZ983123 VRV983123 WBR983123 WLN983123 WVJ983123 B99 IX99 ST99 ACP99 AML99 AWH99 BGD99 BPZ99 BZV99 CJR99 CTN99 DDJ99 DNF99 DXB99 EGX99 EQT99 FAP99 FKL99 FUH99 GED99 GNZ99 GXV99 HHR99 HRN99 IBJ99 ILF99 IVB99 JEX99 JOT99 JYP99 KIL99 KSH99 LCD99 LLZ99 LVV99 MFR99 MPN99 MZJ99 NJF99 NTB99 OCX99 OMT99 OWP99 PGL99 PQH99 QAD99 QJZ99 QTV99 RDR99 RNN99 RXJ99 SHF99 SRB99 TAX99 TKT99 TUP99 UEL99 UOH99 UYD99 VHZ99 VRV99 WBR99 WLN99 WVJ99 B65635 IX65635 ST65635 ACP65635 AML65635 AWH65635 BGD65635 BPZ65635 BZV65635 CJR65635 CTN65635 DDJ65635 DNF65635 DXB65635 EGX65635 EQT65635 FAP65635 FKL65635 FUH65635 GED65635 GNZ65635 GXV65635 HHR65635 HRN65635 IBJ65635 ILF65635 IVB65635 JEX65635 JOT65635 JYP65635 KIL65635 KSH65635 LCD65635 LLZ65635 LVV65635 MFR65635 MPN65635 MZJ65635 NJF65635 NTB65635 OCX65635 OMT65635 OWP65635 PGL65635 PQH65635 QAD65635 QJZ65635 QTV65635 RDR65635 RNN65635 RXJ65635 SHF65635 SRB65635 TAX65635 TKT65635 TUP65635 UEL65635 UOH65635 UYD65635 VHZ65635 VRV65635 WBR65635 WLN65635 WVJ65635 B131171 IX131171 ST131171 ACP131171 AML131171 AWH131171 BGD131171 BPZ131171 BZV131171 CJR131171 CTN131171 DDJ131171 DNF131171 DXB131171 EGX131171 EQT131171 FAP131171 FKL131171 FUH131171 GED131171 GNZ131171 GXV131171 HHR131171 HRN131171 IBJ131171 ILF131171 IVB131171 JEX131171 JOT131171 JYP131171 KIL131171 KSH131171 LCD131171 LLZ131171 LVV131171 MFR131171 MPN131171 MZJ131171 NJF131171 NTB131171 OCX131171 OMT131171 OWP131171 PGL131171 PQH131171 QAD131171 QJZ131171 QTV131171 RDR131171 RNN131171 RXJ131171 SHF131171 SRB131171 TAX131171 TKT131171 TUP131171 UEL131171 UOH131171 UYD131171 VHZ131171 VRV131171 WBR131171 WLN131171 WVJ131171 B196707 IX196707 ST196707 ACP196707 AML196707 AWH196707 BGD196707 BPZ196707 BZV196707 CJR196707 CTN196707 DDJ196707 DNF196707 DXB196707 EGX196707 EQT196707 FAP196707 FKL196707 FUH196707 GED196707 GNZ196707 GXV196707 HHR196707 HRN196707 IBJ196707 ILF196707 IVB196707 JEX196707 JOT196707 JYP196707 KIL196707 KSH196707 LCD196707 LLZ196707 LVV196707 MFR196707 MPN196707 MZJ196707 NJF196707 NTB196707 OCX196707 OMT196707 OWP196707 PGL196707 PQH196707 QAD196707 QJZ196707 QTV196707 RDR196707 RNN196707 RXJ196707 SHF196707 SRB196707 TAX196707 TKT196707 TUP196707 UEL196707 UOH196707 UYD196707 VHZ196707 VRV196707 WBR196707 WLN196707 WVJ196707 B262243 IX262243 ST262243 ACP262243 AML262243 AWH262243 BGD262243 BPZ262243 BZV262243 CJR262243 CTN262243 DDJ262243 DNF262243 DXB262243 EGX262243 EQT262243 FAP262243 FKL262243 FUH262243 GED262243 GNZ262243 GXV262243 HHR262243 HRN262243 IBJ262243 ILF262243 IVB262243 JEX262243 JOT262243 JYP262243 KIL262243 KSH262243 LCD262243 LLZ262243 LVV262243 MFR262243 MPN262243 MZJ262243 NJF262243 NTB262243 OCX262243 OMT262243 OWP262243 PGL262243 PQH262243 QAD262243 QJZ262243 QTV262243 RDR262243 RNN262243 RXJ262243 SHF262243 SRB262243 TAX262243 TKT262243 TUP262243 UEL262243 UOH262243 UYD262243 VHZ262243 VRV262243 WBR262243 WLN262243 WVJ262243 B327779 IX327779 ST327779 ACP327779 AML327779 AWH327779 BGD327779 BPZ327779 BZV327779 CJR327779 CTN327779 DDJ327779 DNF327779 DXB327779 EGX327779 EQT327779 FAP327779 FKL327779 FUH327779 GED327779 GNZ327779 GXV327779 HHR327779 HRN327779 IBJ327779 ILF327779 IVB327779 JEX327779 JOT327779 JYP327779 KIL327779 KSH327779 LCD327779 LLZ327779 LVV327779 MFR327779 MPN327779 MZJ327779 NJF327779 NTB327779 OCX327779 OMT327779 OWP327779 PGL327779 PQH327779 QAD327779 QJZ327779 QTV327779 RDR327779 RNN327779 RXJ327779 SHF327779 SRB327779 TAX327779 TKT327779 TUP327779 UEL327779 UOH327779 UYD327779 VHZ327779 VRV327779 WBR327779 WLN327779 WVJ327779 B393315 IX393315 ST393315 ACP393315 AML393315 AWH393315 BGD393315 BPZ393315 BZV393315 CJR393315 CTN393315 DDJ393315 DNF393315 DXB393315 EGX393315 EQT393315 FAP393315 FKL393315 FUH393315 GED393315 GNZ393315 GXV393315 HHR393315 HRN393315 IBJ393315 ILF393315 IVB393315 JEX393315 JOT393315 JYP393315 KIL393315 KSH393315 LCD393315 LLZ393315 LVV393315 MFR393315 MPN393315 MZJ393315 NJF393315 NTB393315 OCX393315 OMT393315 OWP393315 PGL393315 PQH393315 QAD393315 QJZ393315 QTV393315 RDR393315 RNN393315 RXJ393315 SHF393315 SRB393315 TAX393315 TKT393315 TUP393315 UEL393315 UOH393315 UYD393315 VHZ393315 VRV393315 WBR393315 WLN393315 WVJ393315 B458851 IX458851 ST458851 ACP458851 AML458851 AWH458851 BGD458851 BPZ458851 BZV458851 CJR458851 CTN458851 DDJ458851 DNF458851 DXB458851 EGX458851 EQT458851 FAP458851 FKL458851 FUH458851 GED458851 GNZ458851 GXV458851 HHR458851 HRN458851 IBJ458851 ILF458851 IVB458851 JEX458851 JOT458851 JYP458851 KIL458851 KSH458851 LCD458851 LLZ458851 LVV458851 MFR458851 MPN458851 MZJ458851 NJF458851 NTB458851 OCX458851 OMT458851 OWP458851 PGL458851 PQH458851 QAD458851 QJZ458851 QTV458851 RDR458851 RNN458851 RXJ458851 SHF458851 SRB458851 TAX458851 TKT458851 TUP458851 UEL458851 UOH458851 UYD458851 VHZ458851 VRV458851 WBR458851 WLN458851 WVJ458851 B524387 IX524387 ST524387 ACP524387 AML524387 AWH524387 BGD524387 BPZ524387 BZV524387 CJR524387 CTN524387 DDJ524387 DNF524387 DXB524387 EGX524387 EQT524387 FAP524387 FKL524387 FUH524387 GED524387 GNZ524387 GXV524387 HHR524387 HRN524387 IBJ524387 ILF524387 IVB524387 JEX524387 JOT524387 JYP524387 KIL524387 KSH524387 LCD524387 LLZ524387 LVV524387 MFR524387 MPN524387 MZJ524387 NJF524387 NTB524387 OCX524387 OMT524387 OWP524387 PGL524387 PQH524387 QAD524387 QJZ524387 QTV524387 RDR524387 RNN524387 RXJ524387 SHF524387 SRB524387 TAX524387 TKT524387 TUP524387 UEL524387 UOH524387 UYD524387 VHZ524387 VRV524387 WBR524387 WLN524387 WVJ524387 B589923 IX589923 ST589923 ACP589923 AML589923 AWH589923 BGD589923 BPZ589923 BZV589923 CJR589923 CTN589923 DDJ589923 DNF589923 DXB589923 EGX589923 EQT589923 FAP589923 FKL589923 FUH589923 GED589923 GNZ589923 GXV589923 HHR589923 HRN589923 IBJ589923 ILF589923 IVB589923 JEX589923 JOT589923 JYP589923 KIL589923 KSH589923 LCD589923 LLZ589923 LVV589923 MFR589923 MPN589923 MZJ589923 NJF589923 NTB589923 OCX589923 OMT589923 OWP589923 PGL589923 PQH589923 QAD589923 QJZ589923 QTV589923 RDR589923 RNN589923 RXJ589923 SHF589923 SRB589923 TAX589923 TKT589923 TUP589923 UEL589923 UOH589923 UYD589923 VHZ589923 VRV589923 WBR589923 WLN589923 WVJ589923 B655459 IX655459 ST655459 ACP655459 AML655459 AWH655459 BGD655459 BPZ655459 BZV655459 CJR655459 CTN655459 DDJ655459 DNF655459 DXB655459 EGX655459 EQT655459 FAP655459 FKL655459 FUH655459 GED655459 GNZ655459 GXV655459 HHR655459 HRN655459 IBJ655459 ILF655459 IVB655459 JEX655459 JOT655459 JYP655459 KIL655459 KSH655459 LCD655459 LLZ655459 LVV655459 MFR655459 MPN655459 MZJ655459 NJF655459 NTB655459 OCX655459 OMT655459 OWP655459 PGL655459 PQH655459 QAD655459 QJZ655459 QTV655459 RDR655459 RNN655459 RXJ655459 SHF655459 SRB655459 TAX655459 TKT655459 TUP655459 UEL655459 UOH655459 UYD655459 VHZ655459 VRV655459 WBR655459 WLN655459 WVJ655459 B720995 IX720995 ST720995 ACP720995 AML720995 AWH720995 BGD720995 BPZ720995 BZV720995 CJR720995 CTN720995 DDJ720995 DNF720995 DXB720995 EGX720995 EQT720995 FAP720995 FKL720995 FUH720995 GED720995 GNZ720995 GXV720995 HHR720995 HRN720995 IBJ720995 ILF720995 IVB720995 JEX720995 JOT720995 JYP720995 KIL720995 KSH720995 LCD720995 LLZ720995 LVV720995 MFR720995 MPN720995 MZJ720995 NJF720995 NTB720995 OCX720995 OMT720995 OWP720995 PGL720995 PQH720995 QAD720995 QJZ720995 QTV720995 RDR720995 RNN720995 RXJ720995 SHF720995 SRB720995 TAX720995 TKT720995 TUP720995 UEL720995 UOH720995 UYD720995 VHZ720995 VRV720995 WBR720995 WLN720995 WVJ720995 B786531 IX786531 ST786531 ACP786531 AML786531 AWH786531 BGD786531 BPZ786531 BZV786531 CJR786531 CTN786531 DDJ786531 DNF786531 DXB786531 EGX786531 EQT786531 FAP786531 FKL786531 FUH786531 GED786531 GNZ786531 GXV786531 HHR786531 HRN786531 IBJ786531 ILF786531 IVB786531 JEX786531 JOT786531 JYP786531 KIL786531 KSH786531 LCD786531 LLZ786531 LVV786531 MFR786531 MPN786531 MZJ786531 NJF786531 NTB786531 OCX786531 OMT786531 OWP786531 PGL786531 PQH786531 QAD786531 QJZ786531 QTV786531 RDR786531 RNN786531 RXJ786531 SHF786531 SRB786531 TAX786531 TKT786531 TUP786531 UEL786531 UOH786531 UYD786531 VHZ786531 VRV786531 WBR786531 WLN786531 WVJ786531 B852067 IX852067 ST852067 ACP852067 AML852067 AWH852067 BGD852067 BPZ852067 BZV852067 CJR852067 CTN852067 DDJ852067 DNF852067 DXB852067 EGX852067 EQT852067 FAP852067 FKL852067 FUH852067 GED852067 GNZ852067 GXV852067 HHR852067 HRN852067 IBJ852067 ILF852067 IVB852067 JEX852067 JOT852067 JYP852067 KIL852067 KSH852067 LCD852067 LLZ852067 LVV852067 MFR852067 MPN852067 MZJ852067 NJF852067 NTB852067 OCX852067 OMT852067 OWP852067 PGL852067 PQH852067 QAD852067 QJZ852067 QTV852067 RDR852067 RNN852067 RXJ852067 SHF852067 SRB852067 TAX852067 TKT852067 TUP852067 UEL852067 UOH852067 UYD852067 VHZ852067 VRV852067 WBR852067 WLN852067 WVJ852067 B917603 IX917603 ST917603 ACP917603 AML917603 AWH917603 BGD917603 BPZ917603 BZV917603 CJR917603 CTN917603 DDJ917603 DNF917603 DXB917603 EGX917603 EQT917603 FAP917603 FKL917603 FUH917603 GED917603 GNZ917603 GXV917603 HHR917603 HRN917603 IBJ917603 ILF917603 IVB917603 JEX917603 JOT917603 JYP917603 KIL917603 KSH917603 LCD917603 LLZ917603 LVV917603 MFR917603 MPN917603 MZJ917603 NJF917603 NTB917603 OCX917603 OMT917603 OWP917603 PGL917603 PQH917603 QAD917603 QJZ917603 QTV917603 RDR917603 RNN917603 RXJ917603 SHF917603 SRB917603 TAX917603 TKT917603 TUP917603 UEL917603 UOH917603 UYD917603 VHZ917603 VRV917603 WBR917603 WLN917603 WVJ917603 B983139 IX983139 ST983139 ACP983139 AML983139 AWH983139 BGD983139 BPZ983139 BZV983139 CJR983139 CTN983139 DDJ983139 DNF983139 DXB983139 EGX983139 EQT983139 FAP983139 FKL983139 FUH983139 GED983139 GNZ983139 GXV983139 HHR983139 HRN983139 IBJ983139 ILF983139 IVB983139 JEX983139 JOT983139 JYP983139 KIL983139 KSH983139 LCD983139 LLZ983139 LVV983139 MFR983139 MPN983139 MZJ983139 NJF983139 NTB983139 OCX983139 OMT983139 OWP983139 PGL983139 PQH983139 QAD983139 QJZ983139 QTV983139 RDR983139 RNN983139 RXJ983139 SHF983139 SRB983139 TAX983139 TKT983139 TUP983139 UEL983139 UOH983139 UYD983139 VHZ983139 VRV983139 WBR983139 WLN983139 WVJ983139 B115 IX115 ST115 ACP115 AML115 AWH115 BGD115 BPZ115 BZV115 CJR115 CTN115 DDJ115 DNF115 DXB115 EGX115 EQT115 FAP115 FKL115 FUH115 GED115 GNZ115 GXV115 HHR115 HRN115 IBJ115 ILF115 IVB115 JEX115 JOT115 JYP115 KIL115 KSH115 LCD115 LLZ115 LVV115 MFR115 MPN115 MZJ115 NJF115 NTB115 OCX115 OMT115 OWP115 PGL115 PQH115 QAD115 QJZ115 QTV115 RDR115 RNN115 RXJ115 SHF115 SRB115 TAX115 TKT115 TUP115 UEL115 UOH115 UYD115 VHZ115 VRV115 WBR115 WLN115 WVJ115 B65651 IX65651 ST65651 ACP65651 AML65651 AWH65651 BGD65651 BPZ65651 BZV65651 CJR65651 CTN65651 DDJ65651 DNF65651 DXB65651 EGX65651 EQT65651 FAP65651 FKL65651 FUH65651 GED65651 GNZ65651 GXV65651 HHR65651 HRN65651 IBJ65651 ILF65651 IVB65651 JEX65651 JOT65651 JYP65651 KIL65651 KSH65651 LCD65651 LLZ65651 LVV65651 MFR65651 MPN65651 MZJ65651 NJF65651 NTB65651 OCX65651 OMT65651 OWP65651 PGL65651 PQH65651 QAD65651 QJZ65651 QTV65651 RDR65651 RNN65651 RXJ65651 SHF65651 SRB65651 TAX65651 TKT65651 TUP65651 UEL65651 UOH65651 UYD65651 VHZ65651 VRV65651 WBR65651 WLN65651 WVJ65651 B131187 IX131187 ST131187 ACP131187 AML131187 AWH131187 BGD131187 BPZ131187 BZV131187 CJR131187 CTN131187 DDJ131187 DNF131187 DXB131187 EGX131187 EQT131187 FAP131187 FKL131187 FUH131187 GED131187 GNZ131187 GXV131187 HHR131187 HRN131187 IBJ131187 ILF131187 IVB131187 JEX131187 JOT131187 JYP131187 KIL131187 KSH131187 LCD131187 LLZ131187 LVV131187 MFR131187 MPN131187 MZJ131187 NJF131187 NTB131187 OCX131187 OMT131187 OWP131187 PGL131187 PQH131187 QAD131187 QJZ131187 QTV131187 RDR131187 RNN131187 RXJ131187 SHF131187 SRB131187 TAX131187 TKT131187 TUP131187 UEL131187 UOH131187 UYD131187 VHZ131187 VRV131187 WBR131187 WLN131187 WVJ131187 B196723 IX196723 ST196723 ACP196723 AML196723 AWH196723 BGD196723 BPZ196723 BZV196723 CJR196723 CTN196723 DDJ196723 DNF196723 DXB196723 EGX196723 EQT196723 FAP196723 FKL196723 FUH196723 GED196723 GNZ196723 GXV196723 HHR196723 HRN196723 IBJ196723 ILF196723 IVB196723 JEX196723 JOT196723 JYP196723 KIL196723 KSH196723 LCD196723 LLZ196723 LVV196723 MFR196723 MPN196723 MZJ196723 NJF196723 NTB196723 OCX196723 OMT196723 OWP196723 PGL196723 PQH196723 QAD196723 QJZ196723 QTV196723 RDR196723 RNN196723 RXJ196723 SHF196723 SRB196723 TAX196723 TKT196723 TUP196723 UEL196723 UOH196723 UYD196723 VHZ196723 VRV196723 WBR196723 WLN196723 WVJ196723 B262259 IX262259 ST262259 ACP262259 AML262259 AWH262259 BGD262259 BPZ262259 BZV262259 CJR262259 CTN262259 DDJ262259 DNF262259 DXB262259 EGX262259 EQT262259 FAP262259 FKL262259 FUH262259 GED262259 GNZ262259 GXV262259 HHR262259 HRN262259 IBJ262259 ILF262259 IVB262259 JEX262259 JOT262259 JYP262259 KIL262259 KSH262259 LCD262259 LLZ262259 LVV262259 MFR262259 MPN262259 MZJ262259 NJF262259 NTB262259 OCX262259 OMT262259 OWP262259 PGL262259 PQH262259 QAD262259 QJZ262259 QTV262259 RDR262259 RNN262259 RXJ262259 SHF262259 SRB262259 TAX262259 TKT262259 TUP262259 UEL262259 UOH262259 UYD262259 VHZ262259 VRV262259 WBR262259 WLN262259 WVJ262259 B327795 IX327795 ST327795 ACP327795 AML327795 AWH327795 BGD327795 BPZ327795 BZV327795 CJR327795 CTN327795 DDJ327795 DNF327795 DXB327795 EGX327795 EQT327795 FAP327795 FKL327795 FUH327795 GED327795 GNZ327795 GXV327795 HHR327795 HRN327795 IBJ327795 ILF327795 IVB327795 JEX327795 JOT327795 JYP327795 KIL327795 KSH327795 LCD327795 LLZ327795 LVV327795 MFR327795 MPN327795 MZJ327795 NJF327795 NTB327795 OCX327795 OMT327795 OWP327795 PGL327795 PQH327795 QAD327795 QJZ327795 QTV327795 RDR327795 RNN327795 RXJ327795 SHF327795 SRB327795 TAX327795 TKT327795 TUP327795 UEL327795 UOH327795 UYD327795 VHZ327795 VRV327795 WBR327795 WLN327795 WVJ327795 B393331 IX393331 ST393331 ACP393331 AML393331 AWH393331 BGD393331 BPZ393331 BZV393331 CJR393331 CTN393331 DDJ393331 DNF393331 DXB393331 EGX393331 EQT393331 FAP393331 FKL393331 FUH393331 GED393331 GNZ393331 GXV393331 HHR393331 HRN393331 IBJ393331 ILF393331 IVB393331 JEX393331 JOT393331 JYP393331 KIL393331 KSH393331 LCD393331 LLZ393331 LVV393331 MFR393331 MPN393331 MZJ393331 NJF393331 NTB393331 OCX393331 OMT393331 OWP393331 PGL393331 PQH393331 QAD393331 QJZ393331 QTV393331 RDR393331 RNN393331 RXJ393331 SHF393331 SRB393331 TAX393331 TKT393331 TUP393331 UEL393331 UOH393331 UYD393331 VHZ393331 VRV393331 WBR393331 WLN393331 WVJ393331 B458867 IX458867 ST458867 ACP458867 AML458867 AWH458867 BGD458867 BPZ458867 BZV458867 CJR458867 CTN458867 DDJ458867 DNF458867 DXB458867 EGX458867 EQT458867 FAP458867 FKL458867 FUH458867 GED458867 GNZ458867 GXV458867 HHR458867 HRN458867 IBJ458867 ILF458867 IVB458867 JEX458867 JOT458867 JYP458867 KIL458867 KSH458867 LCD458867 LLZ458867 LVV458867 MFR458867 MPN458867 MZJ458867 NJF458867 NTB458867 OCX458867 OMT458867 OWP458867 PGL458867 PQH458867 QAD458867 QJZ458867 QTV458867 RDR458867 RNN458867 RXJ458867 SHF458867 SRB458867 TAX458867 TKT458867 TUP458867 UEL458867 UOH458867 UYD458867 VHZ458867 VRV458867 WBR458867 WLN458867 WVJ458867 B524403 IX524403 ST524403 ACP524403 AML524403 AWH524403 BGD524403 BPZ524403 BZV524403 CJR524403 CTN524403 DDJ524403 DNF524403 DXB524403 EGX524403 EQT524403 FAP524403 FKL524403 FUH524403 GED524403 GNZ524403 GXV524403 HHR524403 HRN524403 IBJ524403 ILF524403 IVB524403 JEX524403 JOT524403 JYP524403 KIL524403 KSH524403 LCD524403 LLZ524403 LVV524403 MFR524403 MPN524403 MZJ524403 NJF524403 NTB524403 OCX524403 OMT524403 OWP524403 PGL524403 PQH524403 QAD524403 QJZ524403 QTV524403 RDR524403 RNN524403 RXJ524403 SHF524403 SRB524403 TAX524403 TKT524403 TUP524403 UEL524403 UOH524403 UYD524403 VHZ524403 VRV524403 WBR524403 WLN524403 WVJ524403 B589939 IX589939 ST589939 ACP589939 AML589939 AWH589939 BGD589939 BPZ589939 BZV589939 CJR589939 CTN589939 DDJ589939 DNF589939 DXB589939 EGX589939 EQT589939 FAP589939 FKL589939 FUH589939 GED589939 GNZ589939 GXV589939 HHR589939 HRN589939 IBJ589939 ILF589939 IVB589939 JEX589939 JOT589939 JYP589939 KIL589939 KSH589939 LCD589939 LLZ589939 LVV589939 MFR589939 MPN589939 MZJ589939 NJF589939 NTB589939 OCX589939 OMT589939 OWP589939 PGL589939 PQH589939 QAD589939 QJZ589939 QTV589939 RDR589939 RNN589939 RXJ589939 SHF589939 SRB589939 TAX589939 TKT589939 TUP589939 UEL589939 UOH589939 UYD589939 VHZ589939 VRV589939 WBR589939 WLN589939 WVJ589939 B655475 IX655475 ST655475 ACP655475 AML655475 AWH655475 BGD655475 BPZ655475 BZV655475 CJR655475 CTN655475 DDJ655475 DNF655475 DXB655475 EGX655475 EQT655475 FAP655475 FKL655475 FUH655475 GED655475 GNZ655475 GXV655475 HHR655475 HRN655475 IBJ655475 ILF655475 IVB655475 JEX655475 JOT655475 JYP655475 KIL655475 KSH655475 LCD655475 LLZ655475 LVV655475 MFR655475 MPN655475 MZJ655475 NJF655475 NTB655475 OCX655475 OMT655475 OWP655475 PGL655475 PQH655475 QAD655475 QJZ655475 QTV655475 RDR655475 RNN655475 RXJ655475 SHF655475 SRB655475 TAX655475 TKT655475 TUP655475 UEL655475 UOH655475 UYD655475 VHZ655475 VRV655475 WBR655475 WLN655475 WVJ655475 B721011 IX721011 ST721011 ACP721011 AML721011 AWH721011 BGD721011 BPZ721011 BZV721011 CJR721011 CTN721011 DDJ721011 DNF721011 DXB721011 EGX721011 EQT721011 FAP721011 FKL721011 FUH721011 GED721011 GNZ721011 GXV721011 HHR721011 HRN721011 IBJ721011 ILF721011 IVB721011 JEX721011 JOT721011 JYP721011 KIL721011 KSH721011 LCD721011 LLZ721011 LVV721011 MFR721011 MPN721011 MZJ721011 NJF721011 NTB721011 OCX721011 OMT721011 OWP721011 PGL721011 PQH721011 QAD721011 QJZ721011 QTV721011 RDR721011 RNN721011 RXJ721011 SHF721011 SRB721011 TAX721011 TKT721011 TUP721011 UEL721011 UOH721011 UYD721011 VHZ721011 VRV721011 WBR721011 WLN721011 WVJ721011 B786547 IX786547 ST786547 ACP786547 AML786547 AWH786547 BGD786547 BPZ786547 BZV786547 CJR786547 CTN786547 DDJ786547 DNF786547 DXB786547 EGX786547 EQT786547 FAP786547 FKL786547 FUH786547 GED786547 GNZ786547 GXV786547 HHR786547 HRN786547 IBJ786547 ILF786547 IVB786547 JEX786547 JOT786547 JYP786547 KIL786547 KSH786547 LCD786547 LLZ786547 LVV786547 MFR786547 MPN786547 MZJ786547 NJF786547 NTB786547 OCX786547 OMT786547 OWP786547 PGL786547 PQH786547 QAD786547 QJZ786547 QTV786547 RDR786547 RNN786547 RXJ786547 SHF786547 SRB786547 TAX786547 TKT786547 TUP786547 UEL786547 UOH786547 UYD786547 VHZ786547 VRV786547 WBR786547 WLN786547 WVJ786547 B852083 IX852083 ST852083 ACP852083 AML852083 AWH852083 BGD852083 BPZ852083 BZV852083 CJR852083 CTN852083 DDJ852083 DNF852083 DXB852083 EGX852083 EQT852083 FAP852083 FKL852083 FUH852083 GED852083 GNZ852083 GXV852083 HHR852083 HRN852083 IBJ852083 ILF852083 IVB852083 JEX852083 JOT852083 JYP852083 KIL852083 KSH852083 LCD852083 LLZ852083 LVV852083 MFR852083 MPN852083 MZJ852083 NJF852083 NTB852083 OCX852083 OMT852083 OWP852083 PGL852083 PQH852083 QAD852083 QJZ852083 QTV852083 RDR852083 RNN852083 RXJ852083 SHF852083 SRB852083 TAX852083 TKT852083 TUP852083 UEL852083 UOH852083 UYD852083 VHZ852083 VRV852083 WBR852083 WLN852083 WVJ852083 B917619 IX917619 ST917619 ACP917619 AML917619 AWH917619 BGD917619 BPZ917619 BZV917619 CJR917619 CTN917619 DDJ917619 DNF917619 DXB917619 EGX917619 EQT917619 FAP917619 FKL917619 FUH917619 GED917619 GNZ917619 GXV917619 HHR917619 HRN917619 IBJ917619 ILF917619 IVB917619 JEX917619 JOT917619 JYP917619 KIL917619 KSH917619 LCD917619 LLZ917619 LVV917619 MFR917619 MPN917619 MZJ917619 NJF917619 NTB917619 OCX917619 OMT917619 OWP917619 PGL917619 PQH917619 QAD917619 QJZ917619 QTV917619 RDR917619 RNN917619 RXJ917619 SHF917619 SRB917619 TAX917619 TKT917619 TUP917619 UEL917619 UOH917619 UYD917619 VHZ917619 VRV917619 WBR917619 WLN917619 WVJ917619 B983155 IX983155 ST983155 ACP983155 AML983155 AWH983155 BGD983155 BPZ983155 BZV983155 CJR983155 CTN983155 DDJ983155 DNF983155 DXB983155 EGX983155 EQT983155 FAP983155 FKL983155 FUH983155 GED983155 GNZ983155 GXV983155 HHR983155 HRN983155 IBJ983155 ILF983155 IVB983155 JEX983155 JOT983155 JYP983155 KIL983155 KSH983155 LCD983155 LLZ983155 LVV983155 MFR983155 MPN983155 MZJ983155 NJF983155 NTB983155 OCX983155 OMT983155 OWP983155 PGL983155 PQH983155 QAD983155 QJZ983155 QTV983155 RDR983155 RNN983155 RXJ983155 SHF983155 SRB983155 TAX983155 TKT983155 TUP983155 UEL983155 UOH983155 UYD983155 VHZ983155 VRV983155 WBR983155 WLN983155 WVJ983155 B131 IX131 ST131 ACP131 AML131 AWH131 BGD131 BPZ131 BZV131 CJR131 CTN131 DDJ131 DNF131 DXB131 EGX131 EQT131 FAP131 FKL131 FUH131 GED131 GNZ131 GXV131 HHR131 HRN131 IBJ131 ILF131 IVB131 JEX131 JOT131 JYP131 KIL131 KSH131 LCD131 LLZ131 LVV131 MFR131 MPN131 MZJ131 NJF131 NTB131 OCX131 OMT131 OWP131 PGL131 PQH131 QAD131 QJZ131 QTV131 RDR131 RNN131 RXJ131 SHF131 SRB131 TAX131 TKT131 TUP131 UEL131 UOH131 UYD131 VHZ131 VRV131 WBR131 WLN131 WVJ131 B65667 IX65667 ST65667 ACP65667 AML65667 AWH65667 BGD65667 BPZ65667 BZV65667 CJR65667 CTN65667 DDJ65667 DNF65667 DXB65667 EGX65667 EQT65667 FAP65667 FKL65667 FUH65667 GED65667 GNZ65667 GXV65667 HHR65667 HRN65667 IBJ65667 ILF65667 IVB65667 JEX65667 JOT65667 JYP65667 KIL65667 KSH65667 LCD65667 LLZ65667 LVV65667 MFR65667 MPN65667 MZJ65667 NJF65667 NTB65667 OCX65667 OMT65667 OWP65667 PGL65667 PQH65667 QAD65667 QJZ65667 QTV65667 RDR65667 RNN65667 RXJ65667 SHF65667 SRB65667 TAX65667 TKT65667 TUP65667 UEL65667 UOH65667 UYD65667 VHZ65667 VRV65667 WBR65667 WLN65667 WVJ65667 B131203 IX131203 ST131203 ACP131203 AML131203 AWH131203 BGD131203 BPZ131203 BZV131203 CJR131203 CTN131203 DDJ131203 DNF131203 DXB131203 EGX131203 EQT131203 FAP131203 FKL131203 FUH131203 GED131203 GNZ131203 GXV131203 HHR131203 HRN131203 IBJ131203 ILF131203 IVB131203 JEX131203 JOT131203 JYP131203 KIL131203 KSH131203 LCD131203 LLZ131203 LVV131203 MFR131203 MPN131203 MZJ131203 NJF131203 NTB131203 OCX131203 OMT131203 OWP131203 PGL131203 PQH131203 QAD131203 QJZ131203 QTV131203 RDR131203 RNN131203 RXJ131203 SHF131203 SRB131203 TAX131203 TKT131203 TUP131203 UEL131203 UOH131203 UYD131203 VHZ131203 VRV131203 WBR131203 WLN131203 WVJ131203 B196739 IX196739 ST196739 ACP196739 AML196739 AWH196739 BGD196739 BPZ196739 BZV196739 CJR196739 CTN196739 DDJ196739 DNF196739 DXB196739 EGX196739 EQT196739 FAP196739 FKL196739 FUH196739 GED196739 GNZ196739 GXV196739 HHR196739 HRN196739 IBJ196739 ILF196739 IVB196739 JEX196739 JOT196739 JYP196739 KIL196739 KSH196739 LCD196739 LLZ196739 LVV196739 MFR196739 MPN196739 MZJ196739 NJF196739 NTB196739 OCX196739 OMT196739 OWP196739 PGL196739 PQH196739 QAD196739 QJZ196739 QTV196739 RDR196739 RNN196739 RXJ196739 SHF196739 SRB196739 TAX196739 TKT196739 TUP196739 UEL196739 UOH196739 UYD196739 VHZ196739 VRV196739 WBR196739 WLN196739 WVJ196739 B262275 IX262275 ST262275 ACP262275 AML262275 AWH262275 BGD262275 BPZ262275 BZV262275 CJR262275 CTN262275 DDJ262275 DNF262275 DXB262275 EGX262275 EQT262275 FAP262275 FKL262275 FUH262275 GED262275 GNZ262275 GXV262275 HHR262275 HRN262275 IBJ262275 ILF262275 IVB262275 JEX262275 JOT262275 JYP262275 KIL262275 KSH262275 LCD262275 LLZ262275 LVV262275 MFR262275 MPN262275 MZJ262275 NJF262275 NTB262275 OCX262275 OMT262275 OWP262275 PGL262275 PQH262275 QAD262275 QJZ262275 QTV262275 RDR262275 RNN262275 RXJ262275 SHF262275 SRB262275 TAX262275 TKT262275 TUP262275 UEL262275 UOH262275 UYD262275 VHZ262275 VRV262275 WBR262275 WLN262275 WVJ262275 B327811 IX327811 ST327811 ACP327811 AML327811 AWH327811 BGD327811 BPZ327811 BZV327811 CJR327811 CTN327811 DDJ327811 DNF327811 DXB327811 EGX327811 EQT327811 FAP327811 FKL327811 FUH327811 GED327811 GNZ327811 GXV327811 HHR327811 HRN327811 IBJ327811 ILF327811 IVB327811 JEX327811 JOT327811 JYP327811 KIL327811 KSH327811 LCD327811 LLZ327811 LVV327811 MFR327811 MPN327811 MZJ327811 NJF327811 NTB327811 OCX327811 OMT327811 OWP327811 PGL327811 PQH327811 QAD327811 QJZ327811 QTV327811 RDR327811 RNN327811 RXJ327811 SHF327811 SRB327811 TAX327811 TKT327811 TUP327811 UEL327811 UOH327811 UYD327811 VHZ327811 VRV327811 WBR327811 WLN327811 WVJ327811 B393347 IX393347 ST393347 ACP393347 AML393347 AWH393347 BGD393347 BPZ393347 BZV393347 CJR393347 CTN393347 DDJ393347 DNF393347 DXB393347 EGX393347 EQT393347 FAP393347 FKL393347 FUH393347 GED393347 GNZ393347 GXV393347 HHR393347 HRN393347 IBJ393347 ILF393347 IVB393347 JEX393347 JOT393347 JYP393347 KIL393347 KSH393347 LCD393347 LLZ393347 LVV393347 MFR393347 MPN393347 MZJ393347 NJF393347 NTB393347 OCX393347 OMT393347 OWP393347 PGL393347 PQH393347 QAD393347 QJZ393347 QTV393347 RDR393347 RNN393347 RXJ393347 SHF393347 SRB393347 TAX393347 TKT393347 TUP393347 UEL393347 UOH393347 UYD393347 VHZ393347 VRV393347 WBR393347 WLN393347 WVJ393347 B458883 IX458883 ST458883 ACP458883 AML458883 AWH458883 BGD458883 BPZ458883 BZV458883 CJR458883 CTN458883 DDJ458883 DNF458883 DXB458883 EGX458883 EQT458883 FAP458883 FKL458883 FUH458883 GED458883 GNZ458883 GXV458883 HHR458883 HRN458883 IBJ458883 ILF458883 IVB458883 JEX458883 JOT458883 JYP458883 KIL458883 KSH458883 LCD458883 LLZ458883 LVV458883 MFR458883 MPN458883 MZJ458883 NJF458883 NTB458883 OCX458883 OMT458883 OWP458883 PGL458883 PQH458883 QAD458883 QJZ458883 QTV458883 RDR458883 RNN458883 RXJ458883 SHF458883 SRB458883 TAX458883 TKT458883 TUP458883 UEL458883 UOH458883 UYD458883 VHZ458883 VRV458883 WBR458883 WLN458883 WVJ458883 B524419 IX524419 ST524419 ACP524419 AML524419 AWH524419 BGD524419 BPZ524419 BZV524419 CJR524419 CTN524419 DDJ524419 DNF524419 DXB524419 EGX524419 EQT524419 FAP524419 FKL524419 FUH524419 GED524419 GNZ524419 GXV524419 HHR524419 HRN524419 IBJ524419 ILF524419 IVB524419 JEX524419 JOT524419 JYP524419 KIL524419 KSH524419 LCD524419 LLZ524419 LVV524419 MFR524419 MPN524419 MZJ524419 NJF524419 NTB524419 OCX524419 OMT524419 OWP524419 PGL524419 PQH524419 QAD524419 QJZ524419 QTV524419 RDR524419 RNN524419 RXJ524419 SHF524419 SRB524419 TAX524419 TKT524419 TUP524419 UEL524419 UOH524419 UYD524419 VHZ524419 VRV524419 WBR524419 WLN524419 WVJ524419 B589955 IX589955 ST589955 ACP589955 AML589955 AWH589955 BGD589955 BPZ589955 BZV589955 CJR589955 CTN589955 DDJ589955 DNF589955 DXB589955 EGX589955 EQT589955 FAP589955 FKL589955 FUH589955 GED589955 GNZ589955 GXV589955 HHR589955 HRN589955 IBJ589955 ILF589955 IVB589955 JEX589955 JOT589955 JYP589955 KIL589955 KSH589955 LCD589955 LLZ589955 LVV589955 MFR589955 MPN589955 MZJ589955 NJF589955 NTB589955 OCX589955 OMT589955 OWP589955 PGL589955 PQH589955 QAD589955 QJZ589955 QTV589955 RDR589955 RNN589955 RXJ589955 SHF589955 SRB589955 TAX589955 TKT589955 TUP589955 UEL589955 UOH589955 UYD589955 VHZ589955 VRV589955 WBR589955 WLN589955 WVJ589955 B655491 IX655491 ST655491 ACP655491 AML655491 AWH655491 BGD655491 BPZ655491 BZV655491 CJR655491 CTN655491 DDJ655491 DNF655491 DXB655491 EGX655491 EQT655491 FAP655491 FKL655491 FUH655491 GED655491 GNZ655491 GXV655491 HHR655491 HRN655491 IBJ655491 ILF655491 IVB655491 JEX655491 JOT655491 JYP655491 KIL655491 KSH655491 LCD655491 LLZ655491 LVV655491 MFR655491 MPN655491 MZJ655491 NJF655491 NTB655491 OCX655491 OMT655491 OWP655491 PGL655491 PQH655491 QAD655491 QJZ655491 QTV655491 RDR655491 RNN655491 RXJ655491 SHF655491 SRB655491 TAX655491 TKT655491 TUP655491 UEL655491 UOH655491 UYD655491 VHZ655491 VRV655491 WBR655491 WLN655491 WVJ655491 B721027 IX721027 ST721027 ACP721027 AML721027 AWH721027 BGD721027 BPZ721027 BZV721027 CJR721027 CTN721027 DDJ721027 DNF721027 DXB721027 EGX721027 EQT721027 FAP721027 FKL721027 FUH721027 GED721027 GNZ721027 GXV721027 HHR721027 HRN721027 IBJ721027 ILF721027 IVB721027 JEX721027 JOT721027 JYP721027 KIL721027 KSH721027 LCD721027 LLZ721027 LVV721027 MFR721027 MPN721027 MZJ721027 NJF721027 NTB721027 OCX721027 OMT721027 OWP721027 PGL721027 PQH721027 QAD721027 QJZ721027 QTV721027 RDR721027 RNN721027 RXJ721027 SHF721027 SRB721027 TAX721027 TKT721027 TUP721027 UEL721027 UOH721027 UYD721027 VHZ721027 VRV721027 WBR721027 WLN721027 WVJ721027 B786563 IX786563 ST786563 ACP786563 AML786563 AWH786563 BGD786563 BPZ786563 BZV786563 CJR786563 CTN786563 DDJ786563 DNF786563 DXB786563 EGX786563 EQT786563 FAP786563 FKL786563 FUH786563 GED786563 GNZ786563 GXV786563 HHR786563 HRN786563 IBJ786563 ILF786563 IVB786563 JEX786563 JOT786563 JYP786563 KIL786563 KSH786563 LCD786563 LLZ786563 LVV786563 MFR786563 MPN786563 MZJ786563 NJF786563 NTB786563 OCX786563 OMT786563 OWP786563 PGL786563 PQH786563 QAD786563 QJZ786563 QTV786563 RDR786563 RNN786563 RXJ786563 SHF786563 SRB786563 TAX786563 TKT786563 TUP786563 UEL786563 UOH786563 UYD786563 VHZ786563 VRV786563 WBR786563 WLN786563 WVJ786563 B852099 IX852099 ST852099 ACP852099 AML852099 AWH852099 BGD852099 BPZ852099 BZV852099 CJR852099 CTN852099 DDJ852099 DNF852099 DXB852099 EGX852099 EQT852099 FAP852099 FKL852099 FUH852099 GED852099 GNZ852099 GXV852099 HHR852099 HRN852099 IBJ852099 ILF852099 IVB852099 JEX852099 JOT852099 JYP852099 KIL852099 KSH852099 LCD852099 LLZ852099 LVV852099 MFR852099 MPN852099 MZJ852099 NJF852099 NTB852099 OCX852099 OMT852099 OWP852099 PGL852099 PQH852099 QAD852099 QJZ852099 QTV852099 RDR852099 RNN852099 RXJ852099 SHF852099 SRB852099 TAX852099 TKT852099 TUP852099 UEL852099 UOH852099 UYD852099 VHZ852099 VRV852099 WBR852099 WLN852099 WVJ852099 B917635 IX917635 ST917635 ACP917635 AML917635 AWH917635 BGD917635 BPZ917635 BZV917635 CJR917635 CTN917635 DDJ917635 DNF917635 DXB917635 EGX917635 EQT917635 FAP917635 FKL917635 FUH917635 GED917635 GNZ917635 GXV917635 HHR917635 HRN917635 IBJ917635 ILF917635 IVB917635 JEX917635 JOT917635 JYP917635 KIL917635 KSH917635 LCD917635 LLZ917635 LVV917635 MFR917635 MPN917635 MZJ917635 NJF917635 NTB917635 OCX917635 OMT917635 OWP917635 PGL917635 PQH917635 QAD917635 QJZ917635 QTV917635 RDR917635 RNN917635 RXJ917635 SHF917635 SRB917635 TAX917635 TKT917635 TUP917635 UEL917635 UOH917635 UYD917635 VHZ917635 VRV917635 WBR917635 WLN917635 WVJ917635 B983171 IX983171 ST983171 ACP983171 AML983171 AWH983171 BGD983171 BPZ983171 BZV983171 CJR983171 CTN983171 DDJ983171 DNF983171 DXB983171 EGX983171 EQT983171 FAP983171 FKL983171 FUH983171 GED983171 GNZ983171 GXV983171 HHR983171 HRN983171 IBJ983171 ILF983171 IVB983171 JEX983171 JOT983171 JYP983171 KIL983171 KSH983171 LCD983171 LLZ983171 LVV983171 MFR983171 MPN983171 MZJ983171 NJF983171 NTB983171 OCX983171 OMT983171 OWP983171 PGL983171 PQH983171 QAD983171 QJZ983171 QTV983171 RDR983171 RNN983171 RXJ983171 SHF983171 SRB983171 TAX983171 TKT983171 TUP983171 UEL983171 UOH983171 UYD983171 VHZ983171 VRV983171 WBR983171 WLN983171 WVJ983171 B147 IX147 ST147 ACP147 AML147 AWH147 BGD147 BPZ147 BZV147 CJR147 CTN147 DDJ147 DNF147 DXB147 EGX147 EQT147 FAP147 FKL147 FUH147 GED147 GNZ147 GXV147 HHR147 HRN147 IBJ147 ILF147 IVB147 JEX147 JOT147 JYP147 KIL147 KSH147 LCD147 LLZ147 LVV147 MFR147 MPN147 MZJ147 NJF147 NTB147 OCX147 OMT147 OWP147 PGL147 PQH147 QAD147 QJZ147 QTV147 RDR147 RNN147 RXJ147 SHF147 SRB147 TAX147 TKT147 TUP147 UEL147 UOH147 UYD147 VHZ147 VRV147 WBR147 WLN147 WVJ147 B65683 IX65683 ST65683 ACP65683 AML65683 AWH65683 BGD65683 BPZ65683 BZV65683 CJR65683 CTN65683 DDJ65683 DNF65683 DXB65683 EGX65683 EQT65683 FAP65683 FKL65683 FUH65683 GED65683 GNZ65683 GXV65683 HHR65683 HRN65683 IBJ65683 ILF65683 IVB65683 JEX65683 JOT65683 JYP65683 KIL65683 KSH65683 LCD65683 LLZ65683 LVV65683 MFR65683 MPN65683 MZJ65683 NJF65683 NTB65683 OCX65683 OMT65683 OWP65683 PGL65683 PQH65683 QAD65683 QJZ65683 QTV65683 RDR65683 RNN65683 RXJ65683 SHF65683 SRB65683 TAX65683 TKT65683 TUP65683 UEL65683 UOH65683 UYD65683 VHZ65683 VRV65683 WBR65683 WLN65683 WVJ65683 B131219 IX131219 ST131219 ACP131219 AML131219 AWH131219 BGD131219 BPZ131219 BZV131219 CJR131219 CTN131219 DDJ131219 DNF131219 DXB131219 EGX131219 EQT131219 FAP131219 FKL131219 FUH131219 GED131219 GNZ131219 GXV131219 HHR131219 HRN131219 IBJ131219 ILF131219 IVB131219 JEX131219 JOT131219 JYP131219 KIL131219 KSH131219 LCD131219 LLZ131219 LVV131219 MFR131219 MPN131219 MZJ131219 NJF131219 NTB131219 OCX131219 OMT131219 OWP131219 PGL131219 PQH131219 QAD131219 QJZ131219 QTV131219 RDR131219 RNN131219 RXJ131219 SHF131219 SRB131219 TAX131219 TKT131219 TUP131219 UEL131219 UOH131219 UYD131219 VHZ131219 VRV131219 WBR131219 WLN131219 WVJ131219 B196755 IX196755 ST196755 ACP196755 AML196755 AWH196755 BGD196755 BPZ196755 BZV196755 CJR196755 CTN196755 DDJ196755 DNF196755 DXB196755 EGX196755 EQT196755 FAP196755 FKL196755 FUH196755 GED196755 GNZ196755 GXV196755 HHR196755 HRN196755 IBJ196755 ILF196755 IVB196755 JEX196755 JOT196755 JYP196755 KIL196755 KSH196755 LCD196755 LLZ196755 LVV196755 MFR196755 MPN196755 MZJ196755 NJF196755 NTB196755 OCX196755 OMT196755 OWP196755 PGL196755 PQH196755 QAD196755 QJZ196755 QTV196755 RDR196755 RNN196755 RXJ196755 SHF196755 SRB196755 TAX196755 TKT196755 TUP196755 UEL196755 UOH196755 UYD196755 VHZ196755 VRV196755 WBR196755 WLN196755 WVJ196755 B262291 IX262291 ST262291 ACP262291 AML262291 AWH262291 BGD262291 BPZ262291 BZV262291 CJR262291 CTN262291 DDJ262291 DNF262291 DXB262291 EGX262291 EQT262291 FAP262291 FKL262291 FUH262291 GED262291 GNZ262291 GXV262291 HHR262291 HRN262291 IBJ262291 ILF262291 IVB262291 JEX262291 JOT262291 JYP262291 KIL262291 KSH262291 LCD262291 LLZ262291 LVV262291 MFR262291 MPN262291 MZJ262291 NJF262291 NTB262291 OCX262291 OMT262291 OWP262291 PGL262291 PQH262291 QAD262291 QJZ262291 QTV262291 RDR262291 RNN262291 RXJ262291 SHF262291 SRB262291 TAX262291 TKT262291 TUP262291 UEL262291 UOH262291 UYD262291 VHZ262291 VRV262291 WBR262291 WLN262291 WVJ262291 B327827 IX327827 ST327827 ACP327827 AML327827 AWH327827 BGD327827 BPZ327827 BZV327827 CJR327827 CTN327827 DDJ327827 DNF327827 DXB327827 EGX327827 EQT327827 FAP327827 FKL327827 FUH327827 GED327827 GNZ327827 GXV327827 HHR327827 HRN327827 IBJ327827 ILF327827 IVB327827 JEX327827 JOT327827 JYP327827 KIL327827 KSH327827 LCD327827 LLZ327827 LVV327827 MFR327827 MPN327827 MZJ327827 NJF327827 NTB327827 OCX327827 OMT327827 OWP327827 PGL327827 PQH327827 QAD327827 QJZ327827 QTV327827 RDR327827 RNN327827 RXJ327827 SHF327827 SRB327827 TAX327827 TKT327827 TUP327827 UEL327827 UOH327827 UYD327827 VHZ327827 VRV327827 WBR327827 WLN327827 WVJ327827 B393363 IX393363 ST393363 ACP393363 AML393363 AWH393363 BGD393363 BPZ393363 BZV393363 CJR393363 CTN393363 DDJ393363 DNF393363 DXB393363 EGX393363 EQT393363 FAP393363 FKL393363 FUH393363 GED393363 GNZ393363 GXV393363 HHR393363 HRN393363 IBJ393363 ILF393363 IVB393363 JEX393363 JOT393363 JYP393363 KIL393363 KSH393363 LCD393363 LLZ393363 LVV393363 MFR393363 MPN393363 MZJ393363 NJF393363 NTB393363 OCX393363 OMT393363 OWP393363 PGL393363 PQH393363 QAD393363 QJZ393363 QTV393363 RDR393363 RNN393363 RXJ393363 SHF393363 SRB393363 TAX393363 TKT393363 TUP393363 UEL393363 UOH393363 UYD393363 VHZ393363 VRV393363 WBR393363 WLN393363 WVJ393363 B458899 IX458899 ST458899 ACP458899 AML458899 AWH458899 BGD458899 BPZ458899 BZV458899 CJR458899 CTN458899 DDJ458899 DNF458899 DXB458899 EGX458899 EQT458899 FAP458899 FKL458899 FUH458899 GED458899 GNZ458899 GXV458899 HHR458899 HRN458899 IBJ458899 ILF458899 IVB458899 JEX458899 JOT458899 JYP458899 KIL458899 KSH458899 LCD458899 LLZ458899 LVV458899 MFR458899 MPN458899 MZJ458899 NJF458899 NTB458899 OCX458899 OMT458899 OWP458899 PGL458899 PQH458899 QAD458899 QJZ458899 QTV458899 RDR458899 RNN458899 RXJ458899 SHF458899 SRB458899 TAX458899 TKT458899 TUP458899 UEL458899 UOH458899 UYD458899 VHZ458899 VRV458899 WBR458899 WLN458899 WVJ458899 B524435 IX524435 ST524435 ACP524435 AML524435 AWH524435 BGD524435 BPZ524435 BZV524435 CJR524435 CTN524435 DDJ524435 DNF524435 DXB524435 EGX524435 EQT524435 FAP524435 FKL524435 FUH524435 GED524435 GNZ524435 GXV524435 HHR524435 HRN524435 IBJ524435 ILF524435 IVB524435 JEX524435 JOT524435 JYP524435 KIL524435 KSH524435 LCD524435 LLZ524435 LVV524435 MFR524435 MPN524435 MZJ524435 NJF524435 NTB524435 OCX524435 OMT524435 OWP524435 PGL524435 PQH524435 QAD524435 QJZ524435 QTV524435 RDR524435 RNN524435 RXJ524435 SHF524435 SRB524435 TAX524435 TKT524435 TUP524435 UEL524435 UOH524435 UYD524435 VHZ524435 VRV524435 WBR524435 WLN524435 WVJ524435 B589971 IX589971 ST589971 ACP589971 AML589971 AWH589971 BGD589971 BPZ589971 BZV589971 CJR589971 CTN589971 DDJ589971 DNF589971 DXB589971 EGX589971 EQT589971 FAP589971 FKL589971 FUH589971 GED589971 GNZ589971 GXV589971 HHR589971 HRN589971 IBJ589971 ILF589971 IVB589971 JEX589971 JOT589971 JYP589971 KIL589971 KSH589971 LCD589971 LLZ589971 LVV589971 MFR589971 MPN589971 MZJ589971 NJF589971 NTB589971 OCX589971 OMT589971 OWP589971 PGL589971 PQH589971 QAD589971 QJZ589971 QTV589971 RDR589971 RNN589971 RXJ589971 SHF589971 SRB589971 TAX589971 TKT589971 TUP589971 UEL589971 UOH589971 UYD589971 VHZ589971 VRV589971 WBR589971 WLN589971 WVJ589971 B655507 IX655507 ST655507 ACP655507 AML655507 AWH655507 BGD655507 BPZ655507 BZV655507 CJR655507 CTN655507 DDJ655507 DNF655507 DXB655507 EGX655507 EQT655507 FAP655507 FKL655507 FUH655507 GED655507 GNZ655507 GXV655507 HHR655507 HRN655507 IBJ655507 ILF655507 IVB655507 JEX655507 JOT655507 JYP655507 KIL655507 KSH655507 LCD655507 LLZ655507 LVV655507 MFR655507 MPN655507 MZJ655507 NJF655507 NTB655507 OCX655507 OMT655507 OWP655507 PGL655507 PQH655507 QAD655507 QJZ655507 QTV655507 RDR655507 RNN655507 RXJ655507 SHF655507 SRB655507 TAX655507 TKT655507 TUP655507 UEL655507 UOH655507 UYD655507 VHZ655507 VRV655507 WBR655507 WLN655507 WVJ655507 B721043 IX721043 ST721043 ACP721043 AML721043 AWH721043 BGD721043 BPZ721043 BZV721043 CJR721043 CTN721043 DDJ721043 DNF721043 DXB721043 EGX721043 EQT721043 FAP721043 FKL721043 FUH721043 GED721043 GNZ721043 GXV721043 HHR721043 HRN721043 IBJ721043 ILF721043 IVB721043 JEX721043 JOT721043 JYP721043 KIL721043 KSH721043 LCD721043 LLZ721043 LVV721043 MFR721043 MPN721043 MZJ721043 NJF721043 NTB721043 OCX721043 OMT721043 OWP721043 PGL721043 PQH721043 QAD721043 QJZ721043 QTV721043 RDR721043 RNN721043 RXJ721043 SHF721043 SRB721043 TAX721043 TKT721043 TUP721043 UEL721043 UOH721043 UYD721043 VHZ721043 VRV721043 WBR721043 WLN721043 WVJ721043 B786579 IX786579 ST786579 ACP786579 AML786579 AWH786579 BGD786579 BPZ786579 BZV786579 CJR786579 CTN786579 DDJ786579 DNF786579 DXB786579 EGX786579 EQT786579 FAP786579 FKL786579 FUH786579 GED786579 GNZ786579 GXV786579 HHR786579 HRN786579 IBJ786579 ILF786579 IVB786579 JEX786579 JOT786579 JYP786579 KIL786579 KSH786579 LCD786579 LLZ786579 LVV786579 MFR786579 MPN786579 MZJ786579 NJF786579 NTB786579 OCX786579 OMT786579 OWP786579 PGL786579 PQH786579 QAD786579 QJZ786579 QTV786579 RDR786579 RNN786579 RXJ786579 SHF786579 SRB786579 TAX786579 TKT786579 TUP786579 UEL786579 UOH786579 UYD786579 VHZ786579 VRV786579 WBR786579 WLN786579 WVJ786579 B852115 IX852115 ST852115 ACP852115 AML852115 AWH852115 BGD852115 BPZ852115 BZV852115 CJR852115 CTN852115 DDJ852115 DNF852115 DXB852115 EGX852115 EQT852115 FAP852115 FKL852115 FUH852115 GED852115 GNZ852115 GXV852115 HHR852115 HRN852115 IBJ852115 ILF852115 IVB852115 JEX852115 JOT852115 JYP852115 KIL852115 KSH852115 LCD852115 LLZ852115 LVV852115 MFR852115 MPN852115 MZJ852115 NJF852115 NTB852115 OCX852115 OMT852115 OWP852115 PGL852115 PQH852115 QAD852115 QJZ852115 QTV852115 RDR852115 RNN852115 RXJ852115 SHF852115 SRB852115 TAX852115 TKT852115 TUP852115 UEL852115 UOH852115 UYD852115 VHZ852115 VRV852115 WBR852115 WLN852115 WVJ852115 B917651 IX917651 ST917651 ACP917651 AML917651 AWH917651 BGD917651 BPZ917651 BZV917651 CJR917651 CTN917651 DDJ917651 DNF917651 DXB917651 EGX917651 EQT917651 FAP917651 FKL917651 FUH917651 GED917651 GNZ917651 GXV917651 HHR917651 HRN917651 IBJ917651 ILF917651 IVB917651 JEX917651 JOT917651 JYP917651 KIL917651 KSH917651 LCD917651 LLZ917651 LVV917651 MFR917651 MPN917651 MZJ917651 NJF917651 NTB917651 OCX917651 OMT917651 OWP917651 PGL917651 PQH917651 QAD917651 QJZ917651 QTV917651 RDR917651 RNN917651 RXJ917651 SHF917651 SRB917651 TAX917651 TKT917651 TUP917651 UEL917651 UOH917651 UYD917651 VHZ917651 VRV917651 WBR917651 WLN917651 WVJ917651 B983187 IX983187 ST983187 ACP983187 AML983187 AWH983187 BGD983187 BPZ983187 BZV983187 CJR983187 CTN983187 DDJ983187 DNF983187 DXB983187 EGX983187 EQT983187 FAP983187 FKL983187 FUH983187 GED983187 GNZ983187 GXV983187 HHR983187 HRN983187 IBJ983187 ILF983187 IVB983187 JEX983187 JOT983187 JYP983187 KIL983187 KSH983187 LCD983187 LLZ983187 LVV983187 MFR983187 MPN983187 MZJ983187 NJF983187 NTB983187 OCX983187 OMT983187 OWP983187 PGL983187 PQH983187 QAD983187 QJZ983187 QTV983187 RDR983187 RNN983187 RXJ983187 SHF983187 SRB983187 TAX983187 TKT983187 TUP983187 UEL983187 UOH983187 UYD983187 VHZ983187 VRV983187 WBR983187 WLN983187 WVJ983187 B163 IX163 ST163 ACP163 AML163 AWH163 BGD163 BPZ163 BZV163 CJR163 CTN163 DDJ163 DNF163 DXB163 EGX163 EQT163 FAP163 FKL163 FUH163 GED163 GNZ163 GXV163 HHR163 HRN163 IBJ163 ILF163 IVB163 JEX163 JOT163 JYP163 KIL163 KSH163 LCD163 LLZ163 LVV163 MFR163 MPN163 MZJ163 NJF163 NTB163 OCX163 OMT163 OWP163 PGL163 PQH163 QAD163 QJZ163 QTV163 RDR163 RNN163 RXJ163 SHF163 SRB163 TAX163 TKT163 TUP163 UEL163 UOH163 UYD163 VHZ163 VRV163 WBR163 WLN163 WVJ163 B65699 IX65699 ST65699 ACP65699 AML65699 AWH65699 BGD65699 BPZ65699 BZV65699 CJR65699 CTN65699 DDJ65699 DNF65699 DXB65699 EGX65699 EQT65699 FAP65699 FKL65699 FUH65699 GED65699 GNZ65699 GXV65699 HHR65699 HRN65699 IBJ65699 ILF65699 IVB65699 JEX65699 JOT65699 JYP65699 KIL65699 KSH65699 LCD65699 LLZ65699 LVV65699 MFR65699 MPN65699 MZJ65699 NJF65699 NTB65699 OCX65699 OMT65699 OWP65699 PGL65699 PQH65699 QAD65699 QJZ65699 QTV65699 RDR65699 RNN65699 RXJ65699 SHF65699 SRB65699 TAX65699 TKT65699 TUP65699 UEL65699 UOH65699 UYD65699 VHZ65699 VRV65699 WBR65699 WLN65699 WVJ65699 B131235 IX131235 ST131235 ACP131235 AML131235 AWH131235 BGD131235 BPZ131235 BZV131235 CJR131235 CTN131235 DDJ131235 DNF131235 DXB131235 EGX131235 EQT131235 FAP131235 FKL131235 FUH131235 GED131235 GNZ131235 GXV131235 HHR131235 HRN131235 IBJ131235 ILF131235 IVB131235 JEX131235 JOT131235 JYP131235 KIL131235 KSH131235 LCD131235 LLZ131235 LVV131235 MFR131235 MPN131235 MZJ131235 NJF131235 NTB131235 OCX131235 OMT131235 OWP131235 PGL131235 PQH131235 QAD131235 QJZ131235 QTV131235 RDR131235 RNN131235 RXJ131235 SHF131235 SRB131235 TAX131235 TKT131235 TUP131235 UEL131235 UOH131235 UYD131235 VHZ131235 VRV131235 WBR131235 WLN131235 WVJ131235 B196771 IX196771 ST196771 ACP196771 AML196771 AWH196771 BGD196771 BPZ196771 BZV196771 CJR196771 CTN196771 DDJ196771 DNF196771 DXB196771 EGX196771 EQT196771 FAP196771 FKL196771 FUH196771 GED196771 GNZ196771 GXV196771 HHR196771 HRN196771 IBJ196771 ILF196771 IVB196771 JEX196771 JOT196771 JYP196771 KIL196771 KSH196771 LCD196771 LLZ196771 LVV196771 MFR196771 MPN196771 MZJ196771 NJF196771 NTB196771 OCX196771 OMT196771 OWP196771 PGL196771 PQH196771 QAD196771 QJZ196771 QTV196771 RDR196771 RNN196771 RXJ196771 SHF196771 SRB196771 TAX196771 TKT196771 TUP196771 UEL196771 UOH196771 UYD196771 VHZ196771 VRV196771 WBR196771 WLN196771 WVJ196771 B262307 IX262307 ST262307 ACP262307 AML262307 AWH262307 BGD262307 BPZ262307 BZV262307 CJR262307 CTN262307 DDJ262307 DNF262307 DXB262307 EGX262307 EQT262307 FAP262307 FKL262307 FUH262307 GED262307 GNZ262307 GXV262307 HHR262307 HRN262307 IBJ262307 ILF262307 IVB262307 JEX262307 JOT262307 JYP262307 KIL262307 KSH262307 LCD262307 LLZ262307 LVV262307 MFR262307 MPN262307 MZJ262307 NJF262307 NTB262307 OCX262307 OMT262307 OWP262307 PGL262307 PQH262307 QAD262307 QJZ262307 QTV262307 RDR262307 RNN262307 RXJ262307 SHF262307 SRB262307 TAX262307 TKT262307 TUP262307 UEL262307 UOH262307 UYD262307 VHZ262307 VRV262307 WBR262307 WLN262307 WVJ262307 B327843 IX327843 ST327843 ACP327843 AML327843 AWH327843 BGD327843 BPZ327843 BZV327843 CJR327843 CTN327843 DDJ327843 DNF327843 DXB327843 EGX327843 EQT327843 FAP327843 FKL327843 FUH327843 GED327843 GNZ327843 GXV327843 HHR327843 HRN327843 IBJ327843 ILF327843 IVB327843 JEX327843 JOT327843 JYP327843 KIL327843 KSH327843 LCD327843 LLZ327843 LVV327843 MFR327843 MPN327843 MZJ327843 NJF327843 NTB327843 OCX327843 OMT327843 OWP327843 PGL327843 PQH327843 QAD327843 QJZ327843 QTV327843 RDR327843 RNN327843 RXJ327843 SHF327843 SRB327843 TAX327843 TKT327843 TUP327843 UEL327843 UOH327843 UYD327843 VHZ327843 VRV327843 WBR327843 WLN327843 WVJ327843 B393379 IX393379 ST393379 ACP393379 AML393379 AWH393379 BGD393379 BPZ393379 BZV393379 CJR393379 CTN393379 DDJ393379 DNF393379 DXB393379 EGX393379 EQT393379 FAP393379 FKL393379 FUH393379 GED393379 GNZ393379 GXV393379 HHR393379 HRN393379 IBJ393379 ILF393379 IVB393379 JEX393379 JOT393379 JYP393379 KIL393379 KSH393379 LCD393379 LLZ393379 LVV393379 MFR393379 MPN393379 MZJ393379 NJF393379 NTB393379 OCX393379 OMT393379 OWP393379 PGL393379 PQH393379 QAD393379 QJZ393379 QTV393379 RDR393379 RNN393379 RXJ393379 SHF393379 SRB393379 TAX393379 TKT393379 TUP393379 UEL393379 UOH393379 UYD393379 VHZ393379 VRV393379 WBR393379 WLN393379 WVJ393379 B458915 IX458915 ST458915 ACP458915 AML458915 AWH458915 BGD458915 BPZ458915 BZV458915 CJR458915 CTN458915 DDJ458915 DNF458915 DXB458915 EGX458915 EQT458915 FAP458915 FKL458915 FUH458915 GED458915 GNZ458915 GXV458915 HHR458915 HRN458915 IBJ458915 ILF458915 IVB458915 JEX458915 JOT458915 JYP458915 KIL458915 KSH458915 LCD458915 LLZ458915 LVV458915 MFR458915 MPN458915 MZJ458915 NJF458915 NTB458915 OCX458915 OMT458915 OWP458915 PGL458915 PQH458915 QAD458915 QJZ458915 QTV458915 RDR458915 RNN458915 RXJ458915 SHF458915 SRB458915 TAX458915 TKT458915 TUP458915 UEL458915 UOH458915 UYD458915 VHZ458915 VRV458915 WBR458915 WLN458915 WVJ458915 B524451 IX524451 ST524451 ACP524451 AML524451 AWH524451 BGD524451 BPZ524451 BZV524451 CJR524451 CTN524451 DDJ524451 DNF524451 DXB524451 EGX524451 EQT524451 FAP524451 FKL524451 FUH524451 GED524451 GNZ524451 GXV524451 HHR524451 HRN524451 IBJ524451 ILF524451 IVB524451 JEX524451 JOT524451 JYP524451 KIL524451 KSH524451 LCD524451 LLZ524451 LVV524451 MFR524451 MPN524451 MZJ524451 NJF524451 NTB524451 OCX524451 OMT524451 OWP524451 PGL524451 PQH524451 QAD524451 QJZ524451 QTV524451 RDR524451 RNN524451 RXJ524451 SHF524451 SRB524451 TAX524451 TKT524451 TUP524451 UEL524451 UOH524451 UYD524451 VHZ524451 VRV524451 WBR524451 WLN524451 WVJ524451 B589987 IX589987 ST589987 ACP589987 AML589987 AWH589987 BGD589987 BPZ589987 BZV589987 CJR589987 CTN589987 DDJ589987 DNF589987 DXB589987 EGX589987 EQT589987 FAP589987 FKL589987 FUH589987 GED589987 GNZ589987 GXV589987 HHR589987 HRN589987 IBJ589987 ILF589987 IVB589987 JEX589987 JOT589987 JYP589987 KIL589987 KSH589987 LCD589987 LLZ589987 LVV589987 MFR589987 MPN589987 MZJ589987 NJF589987 NTB589987 OCX589987 OMT589987 OWP589987 PGL589987 PQH589987 QAD589987 QJZ589987 QTV589987 RDR589987 RNN589987 RXJ589987 SHF589987 SRB589987 TAX589987 TKT589987 TUP589987 UEL589987 UOH589987 UYD589987 VHZ589987 VRV589987 WBR589987 WLN589987 WVJ589987 B655523 IX655523 ST655523 ACP655523 AML655523 AWH655523 BGD655523 BPZ655523 BZV655523 CJR655523 CTN655523 DDJ655523 DNF655523 DXB655523 EGX655523 EQT655523 FAP655523 FKL655523 FUH655523 GED655523 GNZ655523 GXV655523 HHR655523 HRN655523 IBJ655523 ILF655523 IVB655523 JEX655523 JOT655523 JYP655523 KIL655523 KSH655523 LCD655523 LLZ655523 LVV655523 MFR655523 MPN655523 MZJ655523 NJF655523 NTB655523 OCX655523 OMT655523 OWP655523 PGL655523 PQH655523 QAD655523 QJZ655523 QTV655523 RDR655523 RNN655523 RXJ655523 SHF655523 SRB655523 TAX655523 TKT655523 TUP655523 UEL655523 UOH655523 UYD655523 VHZ655523 VRV655523 WBR655523 WLN655523 WVJ655523 B721059 IX721059 ST721059 ACP721059 AML721059 AWH721059 BGD721059 BPZ721059 BZV721059 CJR721059 CTN721059 DDJ721059 DNF721059 DXB721059 EGX721059 EQT721059 FAP721059 FKL721059 FUH721059 GED721059 GNZ721059 GXV721059 HHR721059 HRN721059 IBJ721059 ILF721059 IVB721059 JEX721059 JOT721059 JYP721059 KIL721059 KSH721059 LCD721059 LLZ721059 LVV721059 MFR721059 MPN721059 MZJ721059 NJF721059 NTB721059 OCX721059 OMT721059 OWP721059 PGL721059 PQH721059 QAD721059 QJZ721059 QTV721059 RDR721059 RNN721059 RXJ721059 SHF721059 SRB721059 TAX721059 TKT721059 TUP721059 UEL721059 UOH721059 UYD721059 VHZ721059 VRV721059 WBR721059 WLN721059 WVJ721059 B786595 IX786595 ST786595 ACP786595 AML786595 AWH786595 BGD786595 BPZ786595 BZV786595 CJR786595 CTN786595 DDJ786595 DNF786595 DXB786595 EGX786595 EQT786595 FAP786595 FKL786595 FUH786595 GED786595 GNZ786595 GXV786595 HHR786595 HRN786595 IBJ786595 ILF786595 IVB786595 JEX786595 JOT786595 JYP786595 KIL786595 KSH786595 LCD786595 LLZ786595 LVV786595 MFR786595 MPN786595 MZJ786595 NJF786595 NTB786595 OCX786595 OMT786595 OWP786595 PGL786595 PQH786595 QAD786595 QJZ786595 QTV786595 RDR786595 RNN786595 RXJ786595 SHF786595 SRB786595 TAX786595 TKT786595 TUP786595 UEL786595 UOH786595 UYD786595 VHZ786595 VRV786595 WBR786595 WLN786595 WVJ786595 B852131 IX852131 ST852131 ACP852131 AML852131 AWH852131 BGD852131 BPZ852131 BZV852131 CJR852131 CTN852131 DDJ852131 DNF852131 DXB852131 EGX852131 EQT852131 FAP852131 FKL852131 FUH852131 GED852131 GNZ852131 GXV852131 HHR852131 HRN852131 IBJ852131 ILF852131 IVB852131 JEX852131 JOT852131 JYP852131 KIL852131 KSH852131 LCD852131 LLZ852131 LVV852131 MFR852131 MPN852131 MZJ852131 NJF852131 NTB852131 OCX852131 OMT852131 OWP852131 PGL852131 PQH852131 QAD852131 QJZ852131 QTV852131 RDR852131 RNN852131 RXJ852131 SHF852131 SRB852131 TAX852131 TKT852131 TUP852131 UEL852131 UOH852131 UYD852131 VHZ852131 VRV852131 WBR852131 WLN852131 WVJ852131 B917667 IX917667 ST917667 ACP917667 AML917667 AWH917667 BGD917667 BPZ917667 BZV917667 CJR917667 CTN917667 DDJ917667 DNF917667 DXB917667 EGX917667 EQT917667 FAP917667 FKL917667 FUH917667 GED917667 GNZ917667 GXV917667 HHR917667 HRN917667 IBJ917667 ILF917667 IVB917667 JEX917667 JOT917667 JYP917667 KIL917667 KSH917667 LCD917667 LLZ917667 LVV917667 MFR917667 MPN917667 MZJ917667 NJF917667 NTB917667 OCX917667 OMT917667 OWP917667 PGL917667 PQH917667 QAD917667 QJZ917667 QTV917667 RDR917667 RNN917667 RXJ917667 SHF917667 SRB917667 TAX917667 TKT917667 TUP917667 UEL917667 UOH917667 UYD917667 VHZ917667 VRV917667 WBR917667 WLN917667 WVJ917667 B983203 IX983203 ST983203 ACP983203 AML983203 AWH983203 BGD983203 BPZ983203 BZV983203 CJR983203 CTN983203 DDJ983203 DNF983203 DXB983203 EGX983203 EQT983203 FAP983203 FKL983203 FUH983203 GED983203 GNZ983203 GXV983203 HHR983203 HRN983203 IBJ983203 ILF983203 IVB983203 JEX983203 JOT983203 JYP983203 KIL983203 KSH983203 LCD983203 LLZ983203 LVV983203 MFR983203 MPN983203 MZJ983203 NJF983203 NTB983203 OCX983203 OMT983203 OWP983203 PGL983203 PQH983203 QAD983203 QJZ983203 QTV983203 RDR983203 RNN983203 RXJ983203 SHF983203 SRB983203 TAX983203 TKT983203 TUP983203 UEL983203 UOH983203 UYD983203 VHZ983203 VRV983203 WBR983203 WLN983203 WVJ983203 B179 IX179 ST179 ACP179 AML179 AWH179 BGD179 BPZ179 BZV179 CJR179 CTN179 DDJ179 DNF179 DXB179 EGX179 EQT179 FAP179 FKL179 FUH179 GED179 GNZ179 GXV179 HHR179 HRN179 IBJ179 ILF179 IVB179 JEX179 JOT179 JYP179 KIL179 KSH179 LCD179 LLZ179 LVV179 MFR179 MPN179 MZJ179 NJF179 NTB179 OCX179 OMT179 OWP179 PGL179 PQH179 QAD179 QJZ179 QTV179 RDR179 RNN179 RXJ179 SHF179 SRB179 TAX179 TKT179 TUP179 UEL179 UOH179 UYD179 VHZ179 VRV179 WBR179 WLN179 WVJ179 B65715 IX65715 ST65715 ACP65715 AML65715 AWH65715 BGD65715 BPZ65715 BZV65715 CJR65715 CTN65715 DDJ65715 DNF65715 DXB65715 EGX65715 EQT65715 FAP65715 FKL65715 FUH65715 GED65715 GNZ65715 GXV65715 HHR65715 HRN65715 IBJ65715 ILF65715 IVB65715 JEX65715 JOT65715 JYP65715 KIL65715 KSH65715 LCD65715 LLZ65715 LVV65715 MFR65715 MPN65715 MZJ65715 NJF65715 NTB65715 OCX65715 OMT65715 OWP65715 PGL65715 PQH65715 QAD65715 QJZ65715 QTV65715 RDR65715 RNN65715 RXJ65715 SHF65715 SRB65715 TAX65715 TKT65715 TUP65715 UEL65715 UOH65715 UYD65715 VHZ65715 VRV65715 WBR65715 WLN65715 WVJ65715 B131251 IX131251 ST131251 ACP131251 AML131251 AWH131251 BGD131251 BPZ131251 BZV131251 CJR131251 CTN131251 DDJ131251 DNF131251 DXB131251 EGX131251 EQT131251 FAP131251 FKL131251 FUH131251 GED131251 GNZ131251 GXV131251 HHR131251 HRN131251 IBJ131251 ILF131251 IVB131251 JEX131251 JOT131251 JYP131251 KIL131251 KSH131251 LCD131251 LLZ131251 LVV131251 MFR131251 MPN131251 MZJ131251 NJF131251 NTB131251 OCX131251 OMT131251 OWP131251 PGL131251 PQH131251 QAD131251 QJZ131251 QTV131251 RDR131251 RNN131251 RXJ131251 SHF131251 SRB131251 TAX131251 TKT131251 TUP131251 UEL131251 UOH131251 UYD131251 VHZ131251 VRV131251 WBR131251 WLN131251 WVJ131251 B196787 IX196787 ST196787 ACP196787 AML196787 AWH196787 BGD196787 BPZ196787 BZV196787 CJR196787 CTN196787 DDJ196787 DNF196787 DXB196787 EGX196787 EQT196787 FAP196787 FKL196787 FUH196787 GED196787 GNZ196787 GXV196787 HHR196787 HRN196787 IBJ196787 ILF196787 IVB196787 JEX196787 JOT196787 JYP196787 KIL196787 KSH196787 LCD196787 LLZ196787 LVV196787 MFR196787 MPN196787 MZJ196787 NJF196787 NTB196787 OCX196787 OMT196787 OWP196787 PGL196787 PQH196787 QAD196787 QJZ196787 QTV196787 RDR196787 RNN196787 RXJ196787 SHF196787 SRB196787 TAX196787 TKT196787 TUP196787 UEL196787 UOH196787 UYD196787 VHZ196787 VRV196787 WBR196787 WLN196787 WVJ196787 B262323 IX262323 ST262323 ACP262323 AML262323 AWH262323 BGD262323 BPZ262323 BZV262323 CJR262323 CTN262323 DDJ262323 DNF262323 DXB262323 EGX262323 EQT262323 FAP262323 FKL262323 FUH262323 GED262323 GNZ262323 GXV262323 HHR262323 HRN262323 IBJ262323 ILF262323 IVB262323 JEX262323 JOT262323 JYP262323 KIL262323 KSH262323 LCD262323 LLZ262323 LVV262323 MFR262323 MPN262323 MZJ262323 NJF262323 NTB262323 OCX262323 OMT262323 OWP262323 PGL262323 PQH262323 QAD262323 QJZ262323 QTV262323 RDR262323 RNN262323 RXJ262323 SHF262323 SRB262323 TAX262323 TKT262323 TUP262323 UEL262323 UOH262323 UYD262323 VHZ262323 VRV262323 WBR262323 WLN262323 WVJ262323 B327859 IX327859 ST327859 ACP327859 AML327859 AWH327859 BGD327859 BPZ327859 BZV327859 CJR327859 CTN327859 DDJ327859 DNF327859 DXB327859 EGX327859 EQT327859 FAP327859 FKL327859 FUH327859 GED327859 GNZ327859 GXV327859 HHR327859 HRN327859 IBJ327859 ILF327859 IVB327859 JEX327859 JOT327859 JYP327859 KIL327859 KSH327859 LCD327859 LLZ327859 LVV327859 MFR327859 MPN327859 MZJ327859 NJF327859 NTB327859 OCX327859 OMT327859 OWP327859 PGL327859 PQH327859 QAD327859 QJZ327859 QTV327859 RDR327859 RNN327859 RXJ327859 SHF327859 SRB327859 TAX327859 TKT327859 TUP327859 UEL327859 UOH327859 UYD327859 VHZ327859 VRV327859 WBR327859 WLN327859 WVJ327859 B393395 IX393395 ST393395 ACP393395 AML393395 AWH393395 BGD393395 BPZ393395 BZV393395 CJR393395 CTN393395 DDJ393395 DNF393395 DXB393395 EGX393395 EQT393395 FAP393395 FKL393395 FUH393395 GED393395 GNZ393395 GXV393395 HHR393395 HRN393395 IBJ393395 ILF393395 IVB393395 JEX393395 JOT393395 JYP393395 KIL393395 KSH393395 LCD393395 LLZ393395 LVV393395 MFR393395 MPN393395 MZJ393395 NJF393395 NTB393395 OCX393395 OMT393395 OWP393395 PGL393395 PQH393395 QAD393395 QJZ393395 QTV393395 RDR393395 RNN393395 RXJ393395 SHF393395 SRB393395 TAX393395 TKT393395 TUP393395 UEL393395 UOH393395 UYD393395 VHZ393395 VRV393395 WBR393395 WLN393395 WVJ393395 B458931 IX458931 ST458931 ACP458931 AML458931 AWH458931 BGD458931 BPZ458931 BZV458931 CJR458931 CTN458931 DDJ458931 DNF458931 DXB458931 EGX458931 EQT458931 FAP458931 FKL458931 FUH458931 GED458931 GNZ458931 GXV458931 HHR458931 HRN458931 IBJ458931 ILF458931 IVB458931 JEX458931 JOT458931 JYP458931 KIL458931 KSH458931 LCD458931 LLZ458931 LVV458931 MFR458931 MPN458931 MZJ458931 NJF458931 NTB458931 OCX458931 OMT458931 OWP458931 PGL458931 PQH458931 QAD458931 QJZ458931 QTV458931 RDR458931 RNN458931 RXJ458931 SHF458931 SRB458931 TAX458931 TKT458931 TUP458931 UEL458931 UOH458931 UYD458931 VHZ458931 VRV458931 WBR458931 WLN458931 WVJ458931 B524467 IX524467 ST524467 ACP524467 AML524467 AWH524467 BGD524467 BPZ524467 BZV524467 CJR524467 CTN524467 DDJ524467 DNF524467 DXB524467 EGX524467 EQT524467 FAP524467 FKL524467 FUH524467 GED524467 GNZ524467 GXV524467 HHR524467 HRN524467 IBJ524467 ILF524467 IVB524467 JEX524467 JOT524467 JYP524467 KIL524467 KSH524467 LCD524467 LLZ524467 LVV524467 MFR524467 MPN524467 MZJ524467 NJF524467 NTB524467 OCX524467 OMT524467 OWP524467 PGL524467 PQH524467 QAD524467 QJZ524467 QTV524467 RDR524467 RNN524467 RXJ524467 SHF524467 SRB524467 TAX524467 TKT524467 TUP524467 UEL524467 UOH524467 UYD524467 VHZ524467 VRV524467 WBR524467 WLN524467 WVJ524467 B590003 IX590003 ST590003 ACP590003 AML590003 AWH590003 BGD590003 BPZ590003 BZV590003 CJR590003 CTN590003 DDJ590003 DNF590003 DXB590003 EGX590003 EQT590003 FAP590003 FKL590003 FUH590003 GED590003 GNZ590003 GXV590003 HHR590003 HRN590003 IBJ590003 ILF590003 IVB590003 JEX590003 JOT590003 JYP590003 KIL590003 KSH590003 LCD590003 LLZ590003 LVV590003 MFR590003 MPN590003 MZJ590003 NJF590003 NTB590003 OCX590003 OMT590003 OWP590003 PGL590003 PQH590003 QAD590003 QJZ590003 QTV590003 RDR590003 RNN590003 RXJ590003 SHF590003 SRB590003 TAX590003 TKT590003 TUP590003 UEL590003 UOH590003 UYD590003 VHZ590003 VRV590003 WBR590003 WLN590003 WVJ590003 B655539 IX655539 ST655539 ACP655539 AML655539 AWH655539 BGD655539 BPZ655539 BZV655539 CJR655539 CTN655539 DDJ655539 DNF655539 DXB655539 EGX655539 EQT655539 FAP655539 FKL655539 FUH655539 GED655539 GNZ655539 GXV655539 HHR655539 HRN655539 IBJ655539 ILF655539 IVB655539 JEX655539 JOT655539 JYP655539 KIL655539 KSH655539 LCD655539 LLZ655539 LVV655539 MFR655539 MPN655539 MZJ655539 NJF655539 NTB655539 OCX655539 OMT655539 OWP655539 PGL655539 PQH655539 QAD655539 QJZ655539 QTV655539 RDR655539 RNN655539 RXJ655539 SHF655539 SRB655539 TAX655539 TKT655539 TUP655539 UEL655539 UOH655539 UYD655539 VHZ655539 VRV655539 WBR655539 WLN655539 WVJ655539 B721075 IX721075 ST721075 ACP721075 AML721075 AWH721075 BGD721075 BPZ721075 BZV721075 CJR721075 CTN721075 DDJ721075 DNF721075 DXB721075 EGX721075 EQT721075 FAP721075 FKL721075 FUH721075 GED721075 GNZ721075 GXV721075 HHR721075 HRN721075 IBJ721075 ILF721075 IVB721075 JEX721075 JOT721075 JYP721075 KIL721075 KSH721075 LCD721075 LLZ721075 LVV721075 MFR721075 MPN721075 MZJ721075 NJF721075 NTB721075 OCX721075 OMT721075 OWP721075 PGL721075 PQH721075 QAD721075 QJZ721075 QTV721075 RDR721075 RNN721075 RXJ721075 SHF721075 SRB721075 TAX721075 TKT721075 TUP721075 UEL721075 UOH721075 UYD721075 VHZ721075 VRV721075 WBR721075 WLN721075 WVJ721075 B786611 IX786611 ST786611 ACP786611 AML786611 AWH786611 BGD786611 BPZ786611 BZV786611 CJR786611 CTN786611 DDJ786611 DNF786611 DXB786611 EGX786611 EQT786611 FAP786611 FKL786611 FUH786611 GED786611 GNZ786611 GXV786611 HHR786611 HRN786611 IBJ786611 ILF786611 IVB786611 JEX786611 JOT786611 JYP786611 KIL786611 KSH786611 LCD786611 LLZ786611 LVV786611 MFR786611 MPN786611 MZJ786611 NJF786611 NTB786611 OCX786611 OMT786611 OWP786611 PGL786611 PQH786611 QAD786611 QJZ786611 QTV786611 RDR786611 RNN786611 RXJ786611 SHF786611 SRB786611 TAX786611 TKT786611 TUP786611 UEL786611 UOH786611 UYD786611 VHZ786611 VRV786611 WBR786611 WLN786611 WVJ786611 B852147 IX852147 ST852147 ACP852147 AML852147 AWH852147 BGD852147 BPZ852147 BZV852147 CJR852147 CTN852147 DDJ852147 DNF852147 DXB852147 EGX852147 EQT852147 FAP852147 FKL852147 FUH852147 GED852147 GNZ852147 GXV852147 HHR852147 HRN852147 IBJ852147 ILF852147 IVB852147 JEX852147 JOT852147 JYP852147 KIL852147 KSH852147 LCD852147 LLZ852147 LVV852147 MFR852147 MPN852147 MZJ852147 NJF852147 NTB852147 OCX852147 OMT852147 OWP852147 PGL852147 PQH852147 QAD852147 QJZ852147 QTV852147 RDR852147 RNN852147 RXJ852147 SHF852147 SRB852147 TAX852147 TKT852147 TUP852147 UEL852147 UOH852147 UYD852147 VHZ852147 VRV852147 WBR852147 WLN852147 WVJ852147 B917683 IX917683 ST917683 ACP917683 AML917683 AWH917683 BGD917683 BPZ917683 BZV917683 CJR917683 CTN917683 DDJ917683 DNF917683 DXB917683 EGX917683 EQT917683 FAP917683 FKL917683 FUH917683 GED917683 GNZ917683 GXV917683 HHR917683 HRN917683 IBJ917683 ILF917683 IVB917683 JEX917683 JOT917683 JYP917683 KIL917683 KSH917683 LCD917683 LLZ917683 LVV917683 MFR917683 MPN917683 MZJ917683 NJF917683 NTB917683 OCX917683 OMT917683 OWP917683 PGL917683 PQH917683 QAD917683 QJZ917683 QTV917683 RDR917683 RNN917683 RXJ917683 SHF917683 SRB917683 TAX917683 TKT917683 TUP917683 UEL917683 UOH917683 UYD917683 VHZ917683 VRV917683 WBR917683 WLN917683 WVJ917683 B983219 IX983219 ST983219 ACP983219 AML983219 AWH983219 BGD983219 BPZ983219 BZV983219 CJR983219 CTN983219 DDJ983219 DNF983219 DXB983219 EGX983219 EQT983219 FAP983219 FKL983219 FUH983219 GED983219 GNZ983219 GXV983219 HHR983219 HRN983219 IBJ983219 ILF983219 IVB983219 JEX983219 JOT983219 JYP983219 KIL983219 KSH983219 LCD983219 LLZ983219 LVV983219 MFR983219 MPN983219 MZJ983219 NJF983219 NTB983219 OCX983219 OMT983219 OWP983219 PGL983219 PQH983219 QAD983219 QJZ983219 QTV983219 RDR983219 RNN983219 RXJ983219 SHF983219 SRB983219 TAX983219 TKT983219 TUP983219 UEL983219 UOH983219 UYD983219 VHZ983219 VRV983219 WBR983219 WLN983219 WVJ983219 B195 IX195 ST195 ACP195 AML195 AWH195 BGD195 BPZ195 BZV195 CJR195 CTN195 DDJ195 DNF195 DXB195 EGX195 EQT195 FAP195 FKL195 FUH195 GED195 GNZ195 GXV195 HHR195 HRN195 IBJ195 ILF195 IVB195 JEX195 JOT195 JYP195 KIL195 KSH195 LCD195 LLZ195 LVV195 MFR195 MPN195 MZJ195 NJF195 NTB195 OCX195 OMT195 OWP195 PGL195 PQH195 QAD195 QJZ195 QTV195 RDR195 RNN195 RXJ195 SHF195 SRB195 TAX195 TKT195 TUP195 UEL195 UOH195 UYD195 VHZ195 VRV195 WBR195 WLN195 WVJ195 B65731 IX65731 ST65731 ACP65731 AML65731 AWH65731 BGD65731 BPZ65731 BZV65731 CJR65731 CTN65731 DDJ65731 DNF65731 DXB65731 EGX65731 EQT65731 FAP65731 FKL65731 FUH65731 GED65731 GNZ65731 GXV65731 HHR65731 HRN65731 IBJ65731 ILF65731 IVB65731 JEX65731 JOT65731 JYP65731 KIL65731 KSH65731 LCD65731 LLZ65731 LVV65731 MFR65731 MPN65731 MZJ65731 NJF65731 NTB65731 OCX65731 OMT65731 OWP65731 PGL65731 PQH65731 QAD65731 QJZ65731 QTV65731 RDR65731 RNN65731 RXJ65731 SHF65731 SRB65731 TAX65731 TKT65731 TUP65731 UEL65731 UOH65731 UYD65731 VHZ65731 VRV65731 WBR65731 WLN65731 WVJ65731 B131267 IX131267 ST131267 ACP131267 AML131267 AWH131267 BGD131267 BPZ131267 BZV131267 CJR131267 CTN131267 DDJ131267 DNF131267 DXB131267 EGX131267 EQT131267 FAP131267 FKL131267 FUH131267 GED131267 GNZ131267 GXV131267 HHR131267 HRN131267 IBJ131267 ILF131267 IVB131267 JEX131267 JOT131267 JYP131267 KIL131267 KSH131267 LCD131267 LLZ131267 LVV131267 MFR131267 MPN131267 MZJ131267 NJF131267 NTB131267 OCX131267 OMT131267 OWP131267 PGL131267 PQH131267 QAD131267 QJZ131267 QTV131267 RDR131267 RNN131267 RXJ131267 SHF131267 SRB131267 TAX131267 TKT131267 TUP131267 UEL131267 UOH131267 UYD131267 VHZ131267 VRV131267 WBR131267 WLN131267 WVJ131267 B196803 IX196803 ST196803 ACP196803 AML196803 AWH196803 BGD196803 BPZ196803 BZV196803 CJR196803 CTN196803 DDJ196803 DNF196803 DXB196803 EGX196803 EQT196803 FAP196803 FKL196803 FUH196803 GED196803 GNZ196803 GXV196803 HHR196803 HRN196803 IBJ196803 ILF196803 IVB196803 JEX196803 JOT196803 JYP196803 KIL196803 KSH196803 LCD196803 LLZ196803 LVV196803 MFR196803 MPN196803 MZJ196803 NJF196803 NTB196803 OCX196803 OMT196803 OWP196803 PGL196803 PQH196803 QAD196803 QJZ196803 QTV196803 RDR196803 RNN196803 RXJ196803 SHF196803 SRB196803 TAX196803 TKT196803 TUP196803 UEL196803 UOH196803 UYD196803 VHZ196803 VRV196803 WBR196803 WLN196803 WVJ196803 B262339 IX262339 ST262339 ACP262339 AML262339 AWH262339 BGD262339 BPZ262339 BZV262339 CJR262339 CTN262339 DDJ262339 DNF262339 DXB262339 EGX262339 EQT262339 FAP262339 FKL262339 FUH262339 GED262339 GNZ262339 GXV262339 HHR262339 HRN262339 IBJ262339 ILF262339 IVB262339 JEX262339 JOT262339 JYP262339 KIL262339 KSH262339 LCD262339 LLZ262339 LVV262339 MFR262339 MPN262339 MZJ262339 NJF262339 NTB262339 OCX262339 OMT262339 OWP262339 PGL262339 PQH262339 QAD262339 QJZ262339 QTV262339 RDR262339 RNN262339 RXJ262339 SHF262339 SRB262339 TAX262339 TKT262339 TUP262339 UEL262339 UOH262339 UYD262339 VHZ262339 VRV262339 WBR262339 WLN262339 WVJ262339 B327875 IX327875 ST327875 ACP327875 AML327875 AWH327875 BGD327875 BPZ327875 BZV327875 CJR327875 CTN327875 DDJ327875 DNF327875 DXB327875 EGX327875 EQT327875 FAP327875 FKL327875 FUH327875 GED327875 GNZ327875 GXV327875 HHR327875 HRN327875 IBJ327875 ILF327875 IVB327875 JEX327875 JOT327875 JYP327875 KIL327875 KSH327875 LCD327875 LLZ327875 LVV327875 MFR327875 MPN327875 MZJ327875 NJF327875 NTB327875 OCX327875 OMT327875 OWP327875 PGL327875 PQH327875 QAD327875 QJZ327875 QTV327875 RDR327875 RNN327875 RXJ327875 SHF327875 SRB327875 TAX327875 TKT327875 TUP327875 UEL327875 UOH327875 UYD327875 VHZ327875 VRV327875 WBR327875 WLN327875 WVJ327875 B393411 IX393411 ST393411 ACP393411 AML393411 AWH393411 BGD393411 BPZ393411 BZV393411 CJR393411 CTN393411 DDJ393411 DNF393411 DXB393411 EGX393411 EQT393411 FAP393411 FKL393411 FUH393411 GED393411 GNZ393411 GXV393411 HHR393411 HRN393411 IBJ393411 ILF393411 IVB393411 JEX393411 JOT393411 JYP393411 KIL393411 KSH393411 LCD393411 LLZ393411 LVV393411 MFR393411 MPN393411 MZJ393411 NJF393411 NTB393411 OCX393411 OMT393411 OWP393411 PGL393411 PQH393411 QAD393411 QJZ393411 QTV393411 RDR393411 RNN393411 RXJ393411 SHF393411 SRB393411 TAX393411 TKT393411 TUP393411 UEL393411 UOH393411 UYD393411 VHZ393411 VRV393411 WBR393411 WLN393411 WVJ393411 B458947 IX458947 ST458947 ACP458947 AML458947 AWH458947 BGD458947 BPZ458947 BZV458947 CJR458947 CTN458947 DDJ458947 DNF458947 DXB458947 EGX458947 EQT458947 FAP458947 FKL458947 FUH458947 GED458947 GNZ458947 GXV458947 HHR458947 HRN458947 IBJ458947 ILF458947 IVB458947 JEX458947 JOT458947 JYP458947 KIL458947 KSH458947 LCD458947 LLZ458947 LVV458947 MFR458947 MPN458947 MZJ458947 NJF458947 NTB458947 OCX458947 OMT458947 OWP458947 PGL458947 PQH458947 QAD458947 QJZ458947 QTV458947 RDR458947 RNN458947 RXJ458947 SHF458947 SRB458947 TAX458947 TKT458947 TUP458947 UEL458947 UOH458947 UYD458947 VHZ458947 VRV458947 WBR458947 WLN458947 WVJ458947 B524483 IX524483 ST524483 ACP524483 AML524483 AWH524483 BGD524483 BPZ524483 BZV524483 CJR524483 CTN524483 DDJ524483 DNF524483 DXB524483 EGX524483 EQT524483 FAP524483 FKL524483 FUH524483 GED524483 GNZ524483 GXV524483 HHR524483 HRN524483 IBJ524483 ILF524483 IVB524483 JEX524483 JOT524483 JYP524483 KIL524483 KSH524483 LCD524483 LLZ524483 LVV524483 MFR524483 MPN524483 MZJ524483 NJF524483 NTB524483 OCX524483 OMT524483 OWP524483 PGL524483 PQH524483 QAD524483 QJZ524483 QTV524483 RDR524483 RNN524483 RXJ524483 SHF524483 SRB524483 TAX524483 TKT524483 TUP524483 UEL524483 UOH524483 UYD524483 VHZ524483 VRV524483 WBR524483 WLN524483 WVJ524483 B590019 IX590019 ST590019 ACP590019 AML590019 AWH590019 BGD590019 BPZ590019 BZV590019 CJR590019 CTN590019 DDJ590019 DNF590019 DXB590019 EGX590019 EQT590019 FAP590019 FKL590019 FUH590019 GED590019 GNZ590019 GXV590019 HHR590019 HRN590019 IBJ590019 ILF590019 IVB590019 JEX590019 JOT590019 JYP590019 KIL590019 KSH590019 LCD590019 LLZ590019 LVV590019 MFR590019 MPN590019 MZJ590019 NJF590019 NTB590019 OCX590019 OMT590019 OWP590019 PGL590019 PQH590019 QAD590019 QJZ590019 QTV590019 RDR590019 RNN590019 RXJ590019 SHF590019 SRB590019 TAX590019 TKT590019 TUP590019 UEL590019 UOH590019 UYD590019 VHZ590019 VRV590019 WBR590019 WLN590019 WVJ590019 B655555 IX655555 ST655555 ACP655555 AML655555 AWH655555 BGD655555 BPZ655555 BZV655555 CJR655555 CTN655555 DDJ655555 DNF655555 DXB655555 EGX655555 EQT655555 FAP655555 FKL655555 FUH655555 GED655555 GNZ655555 GXV655555 HHR655555 HRN655555 IBJ655555 ILF655555 IVB655555 JEX655555 JOT655555 JYP655555 KIL655555 KSH655555 LCD655555 LLZ655555 LVV655555 MFR655555 MPN655555 MZJ655555 NJF655555 NTB655555 OCX655555 OMT655555 OWP655555 PGL655555 PQH655555 QAD655555 QJZ655555 QTV655555 RDR655555 RNN655555 RXJ655555 SHF655555 SRB655555 TAX655555 TKT655555 TUP655555 UEL655555 UOH655555 UYD655555 VHZ655555 VRV655555 WBR655555 WLN655555 WVJ655555 B721091 IX721091 ST721091 ACP721091 AML721091 AWH721091 BGD721091 BPZ721091 BZV721091 CJR721091 CTN721091 DDJ721091 DNF721091 DXB721091 EGX721091 EQT721091 FAP721091 FKL721091 FUH721091 GED721091 GNZ721091 GXV721091 HHR721091 HRN721091 IBJ721091 ILF721091 IVB721091 JEX721091 JOT721091 JYP721091 KIL721091 KSH721091 LCD721091 LLZ721091 LVV721091 MFR721091 MPN721091 MZJ721091 NJF721091 NTB721091 OCX721091 OMT721091 OWP721091 PGL721091 PQH721091 QAD721091 QJZ721091 QTV721091 RDR721091 RNN721091 RXJ721091 SHF721091 SRB721091 TAX721091 TKT721091 TUP721091 UEL721091 UOH721091 UYD721091 VHZ721091 VRV721091 WBR721091 WLN721091 WVJ721091 B786627 IX786627 ST786627 ACP786627 AML786627 AWH786627 BGD786627 BPZ786627 BZV786627 CJR786627 CTN786627 DDJ786627 DNF786627 DXB786627 EGX786627 EQT786627 FAP786627 FKL786627 FUH786627 GED786627 GNZ786627 GXV786627 HHR786627 HRN786627 IBJ786627 ILF786627 IVB786627 JEX786627 JOT786627 JYP786627 KIL786627 KSH786627 LCD786627 LLZ786627 LVV786627 MFR786627 MPN786627 MZJ786627 NJF786627 NTB786627 OCX786627 OMT786627 OWP786627 PGL786627 PQH786627 QAD786627 QJZ786627 QTV786627 RDR786627 RNN786627 RXJ786627 SHF786627 SRB786627 TAX786627 TKT786627 TUP786627 UEL786627 UOH786627 UYD786627 VHZ786627 VRV786627 WBR786627 WLN786627 WVJ786627 B852163 IX852163 ST852163 ACP852163 AML852163 AWH852163 BGD852163 BPZ852163 BZV852163 CJR852163 CTN852163 DDJ852163 DNF852163 DXB852163 EGX852163 EQT852163 FAP852163 FKL852163 FUH852163 GED852163 GNZ852163 GXV852163 HHR852163 HRN852163 IBJ852163 ILF852163 IVB852163 JEX852163 JOT852163 JYP852163 KIL852163 KSH852163 LCD852163 LLZ852163 LVV852163 MFR852163 MPN852163 MZJ852163 NJF852163 NTB852163 OCX852163 OMT852163 OWP852163 PGL852163 PQH852163 QAD852163 QJZ852163 QTV852163 RDR852163 RNN852163 RXJ852163 SHF852163 SRB852163 TAX852163 TKT852163 TUP852163 UEL852163 UOH852163 UYD852163 VHZ852163 VRV852163 WBR852163 WLN852163 WVJ852163 B917699 IX917699 ST917699 ACP917699 AML917699 AWH917699 BGD917699 BPZ917699 BZV917699 CJR917699 CTN917699 DDJ917699 DNF917699 DXB917699 EGX917699 EQT917699 FAP917699 FKL917699 FUH917699 GED917699 GNZ917699 GXV917699 HHR917699 HRN917699 IBJ917699 ILF917699 IVB917699 JEX917699 JOT917699 JYP917699 KIL917699 KSH917699 LCD917699 LLZ917699 LVV917699 MFR917699 MPN917699 MZJ917699 NJF917699 NTB917699 OCX917699 OMT917699 OWP917699 PGL917699 PQH917699 QAD917699 QJZ917699 QTV917699 RDR917699 RNN917699 RXJ917699 SHF917699 SRB917699 TAX917699 TKT917699 TUP917699 UEL917699 UOH917699 UYD917699 VHZ917699 VRV917699 WBR917699 WLN917699 WVJ917699 B983235 IX983235 ST983235 ACP983235 AML983235 AWH983235 BGD983235 BPZ983235 BZV983235 CJR983235 CTN983235 DDJ983235 DNF983235 DXB983235 EGX983235 EQT983235 FAP983235 FKL983235 FUH983235 GED983235 GNZ983235 GXV983235 HHR983235 HRN983235 IBJ983235 ILF983235 IVB983235 JEX983235 JOT983235 JYP983235 KIL983235 KSH983235 LCD983235 LLZ983235 LVV983235 MFR983235 MPN983235 MZJ983235 NJF983235 NTB983235 OCX983235 OMT983235 OWP983235 PGL983235 PQH983235 QAD983235 QJZ983235 QTV983235 RDR983235 RNN983235 RXJ983235 SHF983235 SRB983235 TAX983235 TKT983235 TUP983235 UEL983235 UOH983235 UYD983235 VHZ983235 VRV983235 WBR983235 WLN983235 WVJ983235</xm:sqref>
        </x14:dataValidation>
        <x14:dataValidation allowBlank="1" showInputMessage="1" prompt="Automatically determined weekday. To change weekdays, select a new week start day in cell B4." xr:uid="{F0D2A300-AA93-45C7-8242-FDB3A0B6EDC9}">
          <xm:sqref>C4:H4 IY4:JD4 SU4:SZ4 ACQ4:ACV4 AMM4:AMR4 AWI4:AWN4 BGE4:BGJ4 BQA4:BQF4 BZW4:CAB4 CJS4:CJX4 CTO4:CTT4 DDK4:DDP4 DNG4:DNL4 DXC4:DXH4 EGY4:EHD4 EQU4:EQZ4 FAQ4:FAV4 FKM4:FKR4 FUI4:FUN4 GEE4:GEJ4 GOA4:GOF4 GXW4:GYB4 HHS4:HHX4 HRO4:HRT4 IBK4:IBP4 ILG4:ILL4 IVC4:IVH4 JEY4:JFD4 JOU4:JOZ4 JYQ4:JYV4 KIM4:KIR4 KSI4:KSN4 LCE4:LCJ4 LMA4:LMF4 LVW4:LWB4 MFS4:MFX4 MPO4:MPT4 MZK4:MZP4 NJG4:NJL4 NTC4:NTH4 OCY4:ODD4 OMU4:OMZ4 OWQ4:OWV4 PGM4:PGR4 PQI4:PQN4 QAE4:QAJ4 QKA4:QKF4 QTW4:QUB4 RDS4:RDX4 RNO4:RNT4 RXK4:RXP4 SHG4:SHL4 SRC4:SRH4 TAY4:TBD4 TKU4:TKZ4 TUQ4:TUV4 UEM4:UER4 UOI4:UON4 UYE4:UYJ4 VIA4:VIF4 VRW4:VSB4 WBS4:WBX4 WLO4:WLT4 WVK4:WVP4 C65540:H65540 IY65540:JD65540 SU65540:SZ65540 ACQ65540:ACV65540 AMM65540:AMR65540 AWI65540:AWN65540 BGE65540:BGJ65540 BQA65540:BQF65540 BZW65540:CAB65540 CJS65540:CJX65540 CTO65540:CTT65540 DDK65540:DDP65540 DNG65540:DNL65540 DXC65540:DXH65540 EGY65540:EHD65540 EQU65540:EQZ65540 FAQ65540:FAV65540 FKM65540:FKR65540 FUI65540:FUN65540 GEE65540:GEJ65540 GOA65540:GOF65540 GXW65540:GYB65540 HHS65540:HHX65540 HRO65540:HRT65540 IBK65540:IBP65540 ILG65540:ILL65540 IVC65540:IVH65540 JEY65540:JFD65540 JOU65540:JOZ65540 JYQ65540:JYV65540 KIM65540:KIR65540 KSI65540:KSN65540 LCE65540:LCJ65540 LMA65540:LMF65540 LVW65540:LWB65540 MFS65540:MFX65540 MPO65540:MPT65540 MZK65540:MZP65540 NJG65540:NJL65540 NTC65540:NTH65540 OCY65540:ODD65540 OMU65540:OMZ65540 OWQ65540:OWV65540 PGM65540:PGR65540 PQI65540:PQN65540 QAE65540:QAJ65540 QKA65540:QKF65540 QTW65540:QUB65540 RDS65540:RDX65540 RNO65540:RNT65540 RXK65540:RXP65540 SHG65540:SHL65540 SRC65540:SRH65540 TAY65540:TBD65540 TKU65540:TKZ65540 TUQ65540:TUV65540 UEM65540:UER65540 UOI65540:UON65540 UYE65540:UYJ65540 VIA65540:VIF65540 VRW65540:VSB65540 WBS65540:WBX65540 WLO65540:WLT65540 WVK65540:WVP65540 C131076:H131076 IY131076:JD131076 SU131076:SZ131076 ACQ131076:ACV131076 AMM131076:AMR131076 AWI131076:AWN131076 BGE131076:BGJ131076 BQA131076:BQF131076 BZW131076:CAB131076 CJS131076:CJX131076 CTO131076:CTT131076 DDK131076:DDP131076 DNG131076:DNL131076 DXC131076:DXH131076 EGY131076:EHD131076 EQU131076:EQZ131076 FAQ131076:FAV131076 FKM131076:FKR131076 FUI131076:FUN131076 GEE131076:GEJ131076 GOA131076:GOF131076 GXW131076:GYB131076 HHS131076:HHX131076 HRO131076:HRT131076 IBK131076:IBP131076 ILG131076:ILL131076 IVC131076:IVH131076 JEY131076:JFD131076 JOU131076:JOZ131076 JYQ131076:JYV131076 KIM131076:KIR131076 KSI131076:KSN131076 LCE131076:LCJ131076 LMA131076:LMF131076 LVW131076:LWB131076 MFS131076:MFX131076 MPO131076:MPT131076 MZK131076:MZP131076 NJG131076:NJL131076 NTC131076:NTH131076 OCY131076:ODD131076 OMU131076:OMZ131076 OWQ131076:OWV131076 PGM131076:PGR131076 PQI131076:PQN131076 QAE131076:QAJ131076 QKA131076:QKF131076 QTW131076:QUB131076 RDS131076:RDX131076 RNO131076:RNT131076 RXK131076:RXP131076 SHG131076:SHL131076 SRC131076:SRH131076 TAY131076:TBD131076 TKU131076:TKZ131076 TUQ131076:TUV131076 UEM131076:UER131076 UOI131076:UON131076 UYE131076:UYJ131076 VIA131076:VIF131076 VRW131076:VSB131076 WBS131076:WBX131076 WLO131076:WLT131076 WVK131076:WVP131076 C196612:H196612 IY196612:JD196612 SU196612:SZ196612 ACQ196612:ACV196612 AMM196612:AMR196612 AWI196612:AWN196612 BGE196612:BGJ196612 BQA196612:BQF196612 BZW196612:CAB196612 CJS196612:CJX196612 CTO196612:CTT196612 DDK196612:DDP196612 DNG196612:DNL196612 DXC196612:DXH196612 EGY196612:EHD196612 EQU196612:EQZ196612 FAQ196612:FAV196612 FKM196612:FKR196612 FUI196612:FUN196612 GEE196612:GEJ196612 GOA196612:GOF196612 GXW196612:GYB196612 HHS196612:HHX196612 HRO196612:HRT196612 IBK196612:IBP196612 ILG196612:ILL196612 IVC196612:IVH196612 JEY196612:JFD196612 JOU196612:JOZ196612 JYQ196612:JYV196612 KIM196612:KIR196612 KSI196612:KSN196612 LCE196612:LCJ196612 LMA196612:LMF196612 LVW196612:LWB196612 MFS196612:MFX196612 MPO196612:MPT196612 MZK196612:MZP196612 NJG196612:NJL196612 NTC196612:NTH196612 OCY196612:ODD196612 OMU196612:OMZ196612 OWQ196612:OWV196612 PGM196612:PGR196612 PQI196612:PQN196612 QAE196612:QAJ196612 QKA196612:QKF196612 QTW196612:QUB196612 RDS196612:RDX196612 RNO196612:RNT196612 RXK196612:RXP196612 SHG196612:SHL196612 SRC196612:SRH196612 TAY196612:TBD196612 TKU196612:TKZ196612 TUQ196612:TUV196612 UEM196612:UER196612 UOI196612:UON196612 UYE196612:UYJ196612 VIA196612:VIF196612 VRW196612:VSB196612 WBS196612:WBX196612 WLO196612:WLT196612 WVK196612:WVP196612 C262148:H262148 IY262148:JD262148 SU262148:SZ262148 ACQ262148:ACV262148 AMM262148:AMR262148 AWI262148:AWN262148 BGE262148:BGJ262148 BQA262148:BQF262148 BZW262148:CAB262148 CJS262148:CJX262148 CTO262148:CTT262148 DDK262148:DDP262148 DNG262148:DNL262148 DXC262148:DXH262148 EGY262148:EHD262148 EQU262148:EQZ262148 FAQ262148:FAV262148 FKM262148:FKR262148 FUI262148:FUN262148 GEE262148:GEJ262148 GOA262148:GOF262148 GXW262148:GYB262148 HHS262148:HHX262148 HRO262148:HRT262148 IBK262148:IBP262148 ILG262148:ILL262148 IVC262148:IVH262148 JEY262148:JFD262148 JOU262148:JOZ262148 JYQ262148:JYV262148 KIM262148:KIR262148 KSI262148:KSN262148 LCE262148:LCJ262148 LMA262148:LMF262148 LVW262148:LWB262148 MFS262148:MFX262148 MPO262148:MPT262148 MZK262148:MZP262148 NJG262148:NJL262148 NTC262148:NTH262148 OCY262148:ODD262148 OMU262148:OMZ262148 OWQ262148:OWV262148 PGM262148:PGR262148 PQI262148:PQN262148 QAE262148:QAJ262148 QKA262148:QKF262148 QTW262148:QUB262148 RDS262148:RDX262148 RNO262148:RNT262148 RXK262148:RXP262148 SHG262148:SHL262148 SRC262148:SRH262148 TAY262148:TBD262148 TKU262148:TKZ262148 TUQ262148:TUV262148 UEM262148:UER262148 UOI262148:UON262148 UYE262148:UYJ262148 VIA262148:VIF262148 VRW262148:VSB262148 WBS262148:WBX262148 WLO262148:WLT262148 WVK262148:WVP262148 C327684:H327684 IY327684:JD327684 SU327684:SZ327684 ACQ327684:ACV327684 AMM327684:AMR327684 AWI327684:AWN327684 BGE327684:BGJ327684 BQA327684:BQF327684 BZW327684:CAB327684 CJS327684:CJX327684 CTO327684:CTT327684 DDK327684:DDP327684 DNG327684:DNL327684 DXC327684:DXH327684 EGY327684:EHD327684 EQU327684:EQZ327684 FAQ327684:FAV327684 FKM327684:FKR327684 FUI327684:FUN327684 GEE327684:GEJ327684 GOA327684:GOF327684 GXW327684:GYB327684 HHS327684:HHX327684 HRO327684:HRT327684 IBK327684:IBP327684 ILG327684:ILL327684 IVC327684:IVH327684 JEY327684:JFD327684 JOU327684:JOZ327684 JYQ327684:JYV327684 KIM327684:KIR327684 KSI327684:KSN327684 LCE327684:LCJ327684 LMA327684:LMF327684 LVW327684:LWB327684 MFS327684:MFX327684 MPO327684:MPT327684 MZK327684:MZP327684 NJG327684:NJL327684 NTC327684:NTH327684 OCY327684:ODD327684 OMU327684:OMZ327684 OWQ327684:OWV327684 PGM327684:PGR327684 PQI327684:PQN327684 QAE327684:QAJ327684 QKA327684:QKF327684 QTW327684:QUB327684 RDS327684:RDX327684 RNO327684:RNT327684 RXK327684:RXP327684 SHG327684:SHL327684 SRC327684:SRH327684 TAY327684:TBD327684 TKU327684:TKZ327684 TUQ327684:TUV327684 UEM327684:UER327684 UOI327684:UON327684 UYE327684:UYJ327684 VIA327684:VIF327684 VRW327684:VSB327684 WBS327684:WBX327684 WLO327684:WLT327684 WVK327684:WVP327684 C393220:H393220 IY393220:JD393220 SU393220:SZ393220 ACQ393220:ACV393220 AMM393220:AMR393220 AWI393220:AWN393220 BGE393220:BGJ393220 BQA393220:BQF393220 BZW393220:CAB393220 CJS393220:CJX393220 CTO393220:CTT393220 DDK393220:DDP393220 DNG393220:DNL393220 DXC393220:DXH393220 EGY393220:EHD393220 EQU393220:EQZ393220 FAQ393220:FAV393220 FKM393220:FKR393220 FUI393220:FUN393220 GEE393220:GEJ393220 GOA393220:GOF393220 GXW393220:GYB393220 HHS393220:HHX393220 HRO393220:HRT393220 IBK393220:IBP393220 ILG393220:ILL393220 IVC393220:IVH393220 JEY393220:JFD393220 JOU393220:JOZ393220 JYQ393220:JYV393220 KIM393220:KIR393220 KSI393220:KSN393220 LCE393220:LCJ393220 LMA393220:LMF393220 LVW393220:LWB393220 MFS393220:MFX393220 MPO393220:MPT393220 MZK393220:MZP393220 NJG393220:NJL393220 NTC393220:NTH393220 OCY393220:ODD393220 OMU393220:OMZ393220 OWQ393220:OWV393220 PGM393220:PGR393220 PQI393220:PQN393220 QAE393220:QAJ393220 QKA393220:QKF393220 QTW393220:QUB393220 RDS393220:RDX393220 RNO393220:RNT393220 RXK393220:RXP393220 SHG393220:SHL393220 SRC393220:SRH393220 TAY393220:TBD393220 TKU393220:TKZ393220 TUQ393220:TUV393220 UEM393220:UER393220 UOI393220:UON393220 UYE393220:UYJ393220 VIA393220:VIF393220 VRW393220:VSB393220 WBS393220:WBX393220 WLO393220:WLT393220 WVK393220:WVP393220 C458756:H458756 IY458756:JD458756 SU458756:SZ458756 ACQ458756:ACV458756 AMM458756:AMR458756 AWI458756:AWN458756 BGE458756:BGJ458756 BQA458756:BQF458756 BZW458756:CAB458756 CJS458756:CJX458756 CTO458756:CTT458756 DDK458756:DDP458756 DNG458756:DNL458756 DXC458756:DXH458756 EGY458756:EHD458756 EQU458756:EQZ458756 FAQ458756:FAV458756 FKM458756:FKR458756 FUI458756:FUN458756 GEE458756:GEJ458756 GOA458756:GOF458756 GXW458756:GYB458756 HHS458756:HHX458756 HRO458756:HRT458756 IBK458756:IBP458756 ILG458756:ILL458756 IVC458756:IVH458756 JEY458756:JFD458756 JOU458756:JOZ458756 JYQ458756:JYV458756 KIM458756:KIR458756 KSI458756:KSN458756 LCE458756:LCJ458756 LMA458756:LMF458756 LVW458756:LWB458756 MFS458756:MFX458756 MPO458756:MPT458756 MZK458756:MZP458756 NJG458756:NJL458756 NTC458756:NTH458756 OCY458756:ODD458756 OMU458756:OMZ458756 OWQ458756:OWV458756 PGM458756:PGR458756 PQI458756:PQN458756 QAE458756:QAJ458756 QKA458756:QKF458756 QTW458756:QUB458756 RDS458756:RDX458756 RNO458756:RNT458756 RXK458756:RXP458756 SHG458756:SHL458756 SRC458756:SRH458756 TAY458756:TBD458756 TKU458756:TKZ458756 TUQ458756:TUV458756 UEM458756:UER458756 UOI458756:UON458756 UYE458756:UYJ458756 VIA458756:VIF458756 VRW458756:VSB458756 WBS458756:WBX458756 WLO458756:WLT458756 WVK458756:WVP458756 C524292:H524292 IY524292:JD524292 SU524292:SZ524292 ACQ524292:ACV524292 AMM524292:AMR524292 AWI524292:AWN524292 BGE524292:BGJ524292 BQA524292:BQF524292 BZW524292:CAB524292 CJS524292:CJX524292 CTO524292:CTT524292 DDK524292:DDP524292 DNG524292:DNL524292 DXC524292:DXH524292 EGY524292:EHD524292 EQU524292:EQZ524292 FAQ524292:FAV524292 FKM524292:FKR524292 FUI524292:FUN524292 GEE524292:GEJ524292 GOA524292:GOF524292 GXW524292:GYB524292 HHS524292:HHX524292 HRO524292:HRT524292 IBK524292:IBP524292 ILG524292:ILL524292 IVC524292:IVH524292 JEY524292:JFD524292 JOU524292:JOZ524292 JYQ524292:JYV524292 KIM524292:KIR524292 KSI524292:KSN524292 LCE524292:LCJ524292 LMA524292:LMF524292 LVW524292:LWB524292 MFS524292:MFX524292 MPO524292:MPT524292 MZK524292:MZP524292 NJG524292:NJL524292 NTC524292:NTH524292 OCY524292:ODD524292 OMU524292:OMZ524292 OWQ524292:OWV524292 PGM524292:PGR524292 PQI524292:PQN524292 QAE524292:QAJ524292 QKA524292:QKF524292 QTW524292:QUB524292 RDS524292:RDX524292 RNO524292:RNT524292 RXK524292:RXP524292 SHG524292:SHL524292 SRC524292:SRH524292 TAY524292:TBD524292 TKU524292:TKZ524292 TUQ524292:TUV524292 UEM524292:UER524292 UOI524292:UON524292 UYE524292:UYJ524292 VIA524292:VIF524292 VRW524292:VSB524292 WBS524292:WBX524292 WLO524292:WLT524292 WVK524292:WVP524292 C589828:H589828 IY589828:JD589828 SU589828:SZ589828 ACQ589828:ACV589828 AMM589828:AMR589828 AWI589828:AWN589828 BGE589828:BGJ589828 BQA589828:BQF589828 BZW589828:CAB589828 CJS589828:CJX589828 CTO589828:CTT589828 DDK589828:DDP589828 DNG589828:DNL589828 DXC589828:DXH589828 EGY589828:EHD589828 EQU589828:EQZ589828 FAQ589828:FAV589828 FKM589828:FKR589828 FUI589828:FUN589828 GEE589828:GEJ589828 GOA589828:GOF589828 GXW589828:GYB589828 HHS589828:HHX589828 HRO589828:HRT589828 IBK589828:IBP589828 ILG589828:ILL589828 IVC589828:IVH589828 JEY589828:JFD589828 JOU589828:JOZ589828 JYQ589828:JYV589828 KIM589828:KIR589828 KSI589828:KSN589828 LCE589828:LCJ589828 LMA589828:LMF589828 LVW589828:LWB589828 MFS589828:MFX589828 MPO589828:MPT589828 MZK589828:MZP589828 NJG589828:NJL589828 NTC589828:NTH589828 OCY589828:ODD589828 OMU589828:OMZ589828 OWQ589828:OWV589828 PGM589828:PGR589828 PQI589828:PQN589828 QAE589828:QAJ589828 QKA589828:QKF589828 QTW589828:QUB589828 RDS589828:RDX589828 RNO589828:RNT589828 RXK589828:RXP589828 SHG589828:SHL589828 SRC589828:SRH589828 TAY589828:TBD589828 TKU589828:TKZ589828 TUQ589828:TUV589828 UEM589828:UER589828 UOI589828:UON589828 UYE589828:UYJ589828 VIA589828:VIF589828 VRW589828:VSB589828 WBS589828:WBX589828 WLO589828:WLT589828 WVK589828:WVP589828 C655364:H655364 IY655364:JD655364 SU655364:SZ655364 ACQ655364:ACV655364 AMM655364:AMR655364 AWI655364:AWN655364 BGE655364:BGJ655364 BQA655364:BQF655364 BZW655364:CAB655364 CJS655364:CJX655364 CTO655364:CTT655364 DDK655364:DDP655364 DNG655364:DNL655364 DXC655364:DXH655364 EGY655364:EHD655364 EQU655364:EQZ655364 FAQ655364:FAV655364 FKM655364:FKR655364 FUI655364:FUN655364 GEE655364:GEJ655364 GOA655364:GOF655364 GXW655364:GYB655364 HHS655364:HHX655364 HRO655364:HRT655364 IBK655364:IBP655364 ILG655364:ILL655364 IVC655364:IVH655364 JEY655364:JFD655364 JOU655364:JOZ655364 JYQ655364:JYV655364 KIM655364:KIR655364 KSI655364:KSN655364 LCE655364:LCJ655364 LMA655364:LMF655364 LVW655364:LWB655364 MFS655364:MFX655364 MPO655364:MPT655364 MZK655364:MZP655364 NJG655364:NJL655364 NTC655364:NTH655364 OCY655364:ODD655364 OMU655364:OMZ655364 OWQ655364:OWV655364 PGM655364:PGR655364 PQI655364:PQN655364 QAE655364:QAJ655364 QKA655364:QKF655364 QTW655364:QUB655364 RDS655364:RDX655364 RNO655364:RNT655364 RXK655364:RXP655364 SHG655364:SHL655364 SRC655364:SRH655364 TAY655364:TBD655364 TKU655364:TKZ655364 TUQ655364:TUV655364 UEM655364:UER655364 UOI655364:UON655364 UYE655364:UYJ655364 VIA655364:VIF655364 VRW655364:VSB655364 WBS655364:WBX655364 WLO655364:WLT655364 WVK655364:WVP655364 C720900:H720900 IY720900:JD720900 SU720900:SZ720900 ACQ720900:ACV720900 AMM720900:AMR720900 AWI720900:AWN720900 BGE720900:BGJ720900 BQA720900:BQF720900 BZW720900:CAB720900 CJS720900:CJX720900 CTO720900:CTT720900 DDK720900:DDP720900 DNG720900:DNL720900 DXC720900:DXH720900 EGY720900:EHD720900 EQU720900:EQZ720900 FAQ720900:FAV720900 FKM720900:FKR720900 FUI720900:FUN720900 GEE720900:GEJ720900 GOA720900:GOF720900 GXW720900:GYB720900 HHS720900:HHX720900 HRO720900:HRT720900 IBK720900:IBP720900 ILG720900:ILL720900 IVC720900:IVH720900 JEY720900:JFD720900 JOU720900:JOZ720900 JYQ720900:JYV720900 KIM720900:KIR720900 KSI720900:KSN720900 LCE720900:LCJ720900 LMA720900:LMF720900 LVW720900:LWB720900 MFS720900:MFX720900 MPO720900:MPT720900 MZK720900:MZP720900 NJG720900:NJL720900 NTC720900:NTH720900 OCY720900:ODD720900 OMU720900:OMZ720900 OWQ720900:OWV720900 PGM720900:PGR720900 PQI720900:PQN720900 QAE720900:QAJ720900 QKA720900:QKF720900 QTW720900:QUB720900 RDS720900:RDX720900 RNO720900:RNT720900 RXK720900:RXP720900 SHG720900:SHL720900 SRC720900:SRH720900 TAY720900:TBD720900 TKU720900:TKZ720900 TUQ720900:TUV720900 UEM720900:UER720900 UOI720900:UON720900 UYE720900:UYJ720900 VIA720900:VIF720900 VRW720900:VSB720900 WBS720900:WBX720900 WLO720900:WLT720900 WVK720900:WVP720900 C786436:H786436 IY786436:JD786436 SU786436:SZ786436 ACQ786436:ACV786436 AMM786436:AMR786436 AWI786436:AWN786436 BGE786436:BGJ786436 BQA786436:BQF786436 BZW786436:CAB786436 CJS786436:CJX786436 CTO786436:CTT786436 DDK786436:DDP786436 DNG786436:DNL786436 DXC786436:DXH786436 EGY786436:EHD786436 EQU786436:EQZ786436 FAQ786436:FAV786436 FKM786436:FKR786436 FUI786436:FUN786436 GEE786436:GEJ786436 GOA786436:GOF786436 GXW786436:GYB786436 HHS786436:HHX786436 HRO786436:HRT786436 IBK786436:IBP786436 ILG786436:ILL786436 IVC786436:IVH786436 JEY786436:JFD786436 JOU786436:JOZ786436 JYQ786436:JYV786436 KIM786436:KIR786436 KSI786436:KSN786436 LCE786436:LCJ786436 LMA786436:LMF786436 LVW786436:LWB786436 MFS786436:MFX786436 MPO786436:MPT786436 MZK786436:MZP786436 NJG786436:NJL786436 NTC786436:NTH786436 OCY786436:ODD786436 OMU786436:OMZ786436 OWQ786436:OWV786436 PGM786436:PGR786436 PQI786436:PQN786436 QAE786436:QAJ786436 QKA786436:QKF786436 QTW786436:QUB786436 RDS786436:RDX786436 RNO786436:RNT786436 RXK786436:RXP786436 SHG786436:SHL786436 SRC786436:SRH786436 TAY786436:TBD786436 TKU786436:TKZ786436 TUQ786436:TUV786436 UEM786436:UER786436 UOI786436:UON786436 UYE786436:UYJ786436 VIA786436:VIF786436 VRW786436:VSB786436 WBS786436:WBX786436 WLO786436:WLT786436 WVK786436:WVP786436 C851972:H851972 IY851972:JD851972 SU851972:SZ851972 ACQ851972:ACV851972 AMM851972:AMR851972 AWI851972:AWN851972 BGE851972:BGJ851972 BQA851972:BQF851972 BZW851972:CAB851972 CJS851972:CJX851972 CTO851972:CTT851972 DDK851972:DDP851972 DNG851972:DNL851972 DXC851972:DXH851972 EGY851972:EHD851972 EQU851972:EQZ851972 FAQ851972:FAV851972 FKM851972:FKR851972 FUI851972:FUN851972 GEE851972:GEJ851972 GOA851972:GOF851972 GXW851972:GYB851972 HHS851972:HHX851972 HRO851972:HRT851972 IBK851972:IBP851972 ILG851972:ILL851972 IVC851972:IVH851972 JEY851972:JFD851972 JOU851972:JOZ851972 JYQ851972:JYV851972 KIM851972:KIR851972 KSI851972:KSN851972 LCE851972:LCJ851972 LMA851972:LMF851972 LVW851972:LWB851972 MFS851972:MFX851972 MPO851972:MPT851972 MZK851972:MZP851972 NJG851972:NJL851972 NTC851972:NTH851972 OCY851972:ODD851972 OMU851972:OMZ851972 OWQ851972:OWV851972 PGM851972:PGR851972 PQI851972:PQN851972 QAE851972:QAJ851972 QKA851972:QKF851972 QTW851972:QUB851972 RDS851972:RDX851972 RNO851972:RNT851972 RXK851972:RXP851972 SHG851972:SHL851972 SRC851972:SRH851972 TAY851972:TBD851972 TKU851972:TKZ851972 TUQ851972:TUV851972 UEM851972:UER851972 UOI851972:UON851972 UYE851972:UYJ851972 VIA851972:VIF851972 VRW851972:VSB851972 WBS851972:WBX851972 WLO851972:WLT851972 WVK851972:WVP851972 C917508:H917508 IY917508:JD917508 SU917508:SZ917508 ACQ917508:ACV917508 AMM917508:AMR917508 AWI917508:AWN917508 BGE917508:BGJ917508 BQA917508:BQF917508 BZW917508:CAB917508 CJS917508:CJX917508 CTO917508:CTT917508 DDK917508:DDP917508 DNG917508:DNL917508 DXC917508:DXH917508 EGY917508:EHD917508 EQU917508:EQZ917508 FAQ917508:FAV917508 FKM917508:FKR917508 FUI917508:FUN917508 GEE917508:GEJ917508 GOA917508:GOF917508 GXW917508:GYB917508 HHS917508:HHX917508 HRO917508:HRT917508 IBK917508:IBP917508 ILG917508:ILL917508 IVC917508:IVH917508 JEY917508:JFD917508 JOU917508:JOZ917508 JYQ917508:JYV917508 KIM917508:KIR917508 KSI917508:KSN917508 LCE917508:LCJ917508 LMA917508:LMF917508 LVW917508:LWB917508 MFS917508:MFX917508 MPO917508:MPT917508 MZK917508:MZP917508 NJG917508:NJL917508 NTC917508:NTH917508 OCY917508:ODD917508 OMU917508:OMZ917508 OWQ917508:OWV917508 PGM917508:PGR917508 PQI917508:PQN917508 QAE917508:QAJ917508 QKA917508:QKF917508 QTW917508:QUB917508 RDS917508:RDX917508 RNO917508:RNT917508 RXK917508:RXP917508 SHG917508:SHL917508 SRC917508:SRH917508 TAY917508:TBD917508 TKU917508:TKZ917508 TUQ917508:TUV917508 UEM917508:UER917508 UOI917508:UON917508 UYE917508:UYJ917508 VIA917508:VIF917508 VRW917508:VSB917508 WBS917508:WBX917508 WLO917508:WLT917508 WVK917508:WVP917508 C983044:H983044 IY983044:JD983044 SU983044:SZ983044 ACQ983044:ACV983044 AMM983044:AMR983044 AWI983044:AWN983044 BGE983044:BGJ983044 BQA983044:BQF983044 BZW983044:CAB983044 CJS983044:CJX983044 CTO983044:CTT983044 DDK983044:DDP983044 DNG983044:DNL983044 DXC983044:DXH983044 EGY983044:EHD983044 EQU983044:EQZ983044 FAQ983044:FAV983044 FKM983044:FKR983044 FUI983044:FUN983044 GEE983044:GEJ983044 GOA983044:GOF983044 GXW983044:GYB983044 HHS983044:HHX983044 HRO983044:HRT983044 IBK983044:IBP983044 ILG983044:ILL983044 IVC983044:IVH983044 JEY983044:JFD983044 JOU983044:JOZ983044 JYQ983044:JYV983044 KIM983044:KIR983044 KSI983044:KSN983044 LCE983044:LCJ983044 LMA983044:LMF983044 LVW983044:LWB983044 MFS983044:MFX983044 MPO983044:MPT983044 MZK983044:MZP983044 NJG983044:NJL983044 NTC983044:NTH983044 OCY983044:ODD983044 OMU983044:OMZ983044 OWQ983044:OWV983044 PGM983044:PGR983044 PQI983044:PQN983044 QAE983044:QAJ983044 QKA983044:QKF983044 QTW983044:QUB983044 RDS983044:RDX983044 RNO983044:RNT983044 RXK983044:RXP983044 SHG983044:SHL983044 SRC983044:SRH983044 TAY983044:TBD983044 TKU983044:TKZ983044 TUQ983044:TUV983044 UEM983044:UER983044 UOI983044:UON983044 UYE983044:UYJ983044 VIA983044:VIF983044 VRW983044:VSB983044 WBS983044:WBX983044 WLO983044:WLT983044 WVK983044:WVP983044 B20:H20 IX20:JD20 ST20:SZ20 ACP20:ACV20 AML20:AMR20 AWH20:AWN20 BGD20:BGJ20 BPZ20:BQF20 BZV20:CAB20 CJR20:CJX20 CTN20:CTT20 DDJ20:DDP20 DNF20:DNL20 DXB20:DXH20 EGX20:EHD20 EQT20:EQZ20 FAP20:FAV20 FKL20:FKR20 FUH20:FUN20 GED20:GEJ20 GNZ20:GOF20 GXV20:GYB20 HHR20:HHX20 HRN20:HRT20 IBJ20:IBP20 ILF20:ILL20 IVB20:IVH20 JEX20:JFD20 JOT20:JOZ20 JYP20:JYV20 KIL20:KIR20 KSH20:KSN20 LCD20:LCJ20 LLZ20:LMF20 LVV20:LWB20 MFR20:MFX20 MPN20:MPT20 MZJ20:MZP20 NJF20:NJL20 NTB20:NTH20 OCX20:ODD20 OMT20:OMZ20 OWP20:OWV20 PGL20:PGR20 PQH20:PQN20 QAD20:QAJ20 QJZ20:QKF20 QTV20:QUB20 RDR20:RDX20 RNN20:RNT20 RXJ20:RXP20 SHF20:SHL20 SRB20:SRH20 TAX20:TBD20 TKT20:TKZ20 TUP20:TUV20 UEL20:UER20 UOH20:UON20 UYD20:UYJ20 VHZ20:VIF20 VRV20:VSB20 WBR20:WBX20 WLN20:WLT20 WVJ20:WVP20 B65556:H65556 IX65556:JD65556 ST65556:SZ65556 ACP65556:ACV65556 AML65556:AMR65556 AWH65556:AWN65556 BGD65556:BGJ65556 BPZ65556:BQF65556 BZV65556:CAB65556 CJR65556:CJX65556 CTN65556:CTT65556 DDJ65556:DDP65556 DNF65556:DNL65556 DXB65556:DXH65556 EGX65556:EHD65556 EQT65556:EQZ65556 FAP65556:FAV65556 FKL65556:FKR65556 FUH65556:FUN65556 GED65556:GEJ65556 GNZ65556:GOF65556 GXV65556:GYB65556 HHR65556:HHX65556 HRN65556:HRT65556 IBJ65556:IBP65556 ILF65556:ILL65556 IVB65556:IVH65556 JEX65556:JFD65556 JOT65556:JOZ65556 JYP65556:JYV65556 KIL65556:KIR65556 KSH65556:KSN65556 LCD65556:LCJ65556 LLZ65556:LMF65556 LVV65556:LWB65556 MFR65556:MFX65556 MPN65556:MPT65556 MZJ65556:MZP65556 NJF65556:NJL65556 NTB65556:NTH65556 OCX65556:ODD65556 OMT65556:OMZ65556 OWP65556:OWV65556 PGL65556:PGR65556 PQH65556:PQN65556 QAD65556:QAJ65556 QJZ65556:QKF65556 QTV65556:QUB65556 RDR65556:RDX65556 RNN65556:RNT65556 RXJ65556:RXP65556 SHF65556:SHL65556 SRB65556:SRH65556 TAX65556:TBD65556 TKT65556:TKZ65556 TUP65556:TUV65556 UEL65556:UER65556 UOH65556:UON65556 UYD65556:UYJ65556 VHZ65556:VIF65556 VRV65556:VSB65556 WBR65556:WBX65556 WLN65556:WLT65556 WVJ65556:WVP65556 B131092:H131092 IX131092:JD131092 ST131092:SZ131092 ACP131092:ACV131092 AML131092:AMR131092 AWH131092:AWN131092 BGD131092:BGJ131092 BPZ131092:BQF131092 BZV131092:CAB131092 CJR131092:CJX131092 CTN131092:CTT131092 DDJ131092:DDP131092 DNF131092:DNL131092 DXB131092:DXH131092 EGX131092:EHD131092 EQT131092:EQZ131092 FAP131092:FAV131092 FKL131092:FKR131092 FUH131092:FUN131092 GED131092:GEJ131092 GNZ131092:GOF131092 GXV131092:GYB131092 HHR131092:HHX131092 HRN131092:HRT131092 IBJ131092:IBP131092 ILF131092:ILL131092 IVB131092:IVH131092 JEX131092:JFD131092 JOT131092:JOZ131092 JYP131092:JYV131092 KIL131092:KIR131092 KSH131092:KSN131092 LCD131092:LCJ131092 LLZ131092:LMF131092 LVV131092:LWB131092 MFR131092:MFX131092 MPN131092:MPT131092 MZJ131092:MZP131092 NJF131092:NJL131092 NTB131092:NTH131092 OCX131092:ODD131092 OMT131092:OMZ131092 OWP131092:OWV131092 PGL131092:PGR131092 PQH131092:PQN131092 QAD131092:QAJ131092 QJZ131092:QKF131092 QTV131092:QUB131092 RDR131092:RDX131092 RNN131092:RNT131092 RXJ131092:RXP131092 SHF131092:SHL131092 SRB131092:SRH131092 TAX131092:TBD131092 TKT131092:TKZ131092 TUP131092:TUV131092 UEL131092:UER131092 UOH131092:UON131092 UYD131092:UYJ131092 VHZ131092:VIF131092 VRV131092:VSB131092 WBR131092:WBX131092 WLN131092:WLT131092 WVJ131092:WVP131092 B196628:H196628 IX196628:JD196628 ST196628:SZ196628 ACP196628:ACV196628 AML196628:AMR196628 AWH196628:AWN196628 BGD196628:BGJ196628 BPZ196628:BQF196628 BZV196628:CAB196628 CJR196628:CJX196628 CTN196628:CTT196628 DDJ196628:DDP196628 DNF196628:DNL196628 DXB196628:DXH196628 EGX196628:EHD196628 EQT196628:EQZ196628 FAP196628:FAV196628 FKL196628:FKR196628 FUH196628:FUN196628 GED196628:GEJ196628 GNZ196628:GOF196628 GXV196628:GYB196628 HHR196628:HHX196628 HRN196628:HRT196628 IBJ196628:IBP196628 ILF196628:ILL196628 IVB196628:IVH196628 JEX196628:JFD196628 JOT196628:JOZ196628 JYP196628:JYV196628 KIL196628:KIR196628 KSH196628:KSN196628 LCD196628:LCJ196628 LLZ196628:LMF196628 LVV196628:LWB196628 MFR196628:MFX196628 MPN196628:MPT196628 MZJ196628:MZP196628 NJF196628:NJL196628 NTB196628:NTH196628 OCX196628:ODD196628 OMT196628:OMZ196628 OWP196628:OWV196628 PGL196628:PGR196628 PQH196628:PQN196628 QAD196628:QAJ196628 QJZ196628:QKF196628 QTV196628:QUB196628 RDR196628:RDX196628 RNN196628:RNT196628 RXJ196628:RXP196628 SHF196628:SHL196628 SRB196628:SRH196628 TAX196628:TBD196628 TKT196628:TKZ196628 TUP196628:TUV196628 UEL196628:UER196628 UOH196628:UON196628 UYD196628:UYJ196628 VHZ196628:VIF196628 VRV196628:VSB196628 WBR196628:WBX196628 WLN196628:WLT196628 WVJ196628:WVP196628 B262164:H262164 IX262164:JD262164 ST262164:SZ262164 ACP262164:ACV262164 AML262164:AMR262164 AWH262164:AWN262164 BGD262164:BGJ262164 BPZ262164:BQF262164 BZV262164:CAB262164 CJR262164:CJX262164 CTN262164:CTT262164 DDJ262164:DDP262164 DNF262164:DNL262164 DXB262164:DXH262164 EGX262164:EHD262164 EQT262164:EQZ262164 FAP262164:FAV262164 FKL262164:FKR262164 FUH262164:FUN262164 GED262164:GEJ262164 GNZ262164:GOF262164 GXV262164:GYB262164 HHR262164:HHX262164 HRN262164:HRT262164 IBJ262164:IBP262164 ILF262164:ILL262164 IVB262164:IVH262164 JEX262164:JFD262164 JOT262164:JOZ262164 JYP262164:JYV262164 KIL262164:KIR262164 KSH262164:KSN262164 LCD262164:LCJ262164 LLZ262164:LMF262164 LVV262164:LWB262164 MFR262164:MFX262164 MPN262164:MPT262164 MZJ262164:MZP262164 NJF262164:NJL262164 NTB262164:NTH262164 OCX262164:ODD262164 OMT262164:OMZ262164 OWP262164:OWV262164 PGL262164:PGR262164 PQH262164:PQN262164 QAD262164:QAJ262164 QJZ262164:QKF262164 QTV262164:QUB262164 RDR262164:RDX262164 RNN262164:RNT262164 RXJ262164:RXP262164 SHF262164:SHL262164 SRB262164:SRH262164 TAX262164:TBD262164 TKT262164:TKZ262164 TUP262164:TUV262164 UEL262164:UER262164 UOH262164:UON262164 UYD262164:UYJ262164 VHZ262164:VIF262164 VRV262164:VSB262164 WBR262164:WBX262164 WLN262164:WLT262164 WVJ262164:WVP262164 B327700:H327700 IX327700:JD327700 ST327700:SZ327700 ACP327700:ACV327700 AML327700:AMR327700 AWH327700:AWN327700 BGD327700:BGJ327700 BPZ327700:BQF327700 BZV327700:CAB327700 CJR327700:CJX327700 CTN327700:CTT327700 DDJ327700:DDP327700 DNF327700:DNL327700 DXB327700:DXH327700 EGX327700:EHD327700 EQT327700:EQZ327700 FAP327700:FAV327700 FKL327700:FKR327700 FUH327700:FUN327700 GED327700:GEJ327700 GNZ327700:GOF327700 GXV327700:GYB327700 HHR327700:HHX327700 HRN327700:HRT327700 IBJ327700:IBP327700 ILF327700:ILL327700 IVB327700:IVH327700 JEX327700:JFD327700 JOT327700:JOZ327700 JYP327700:JYV327700 KIL327700:KIR327700 KSH327700:KSN327700 LCD327700:LCJ327700 LLZ327700:LMF327700 LVV327700:LWB327700 MFR327700:MFX327700 MPN327700:MPT327700 MZJ327700:MZP327700 NJF327700:NJL327700 NTB327700:NTH327700 OCX327700:ODD327700 OMT327700:OMZ327700 OWP327700:OWV327700 PGL327700:PGR327700 PQH327700:PQN327700 QAD327700:QAJ327700 QJZ327700:QKF327700 QTV327700:QUB327700 RDR327700:RDX327700 RNN327700:RNT327700 RXJ327700:RXP327700 SHF327700:SHL327700 SRB327700:SRH327700 TAX327700:TBD327700 TKT327700:TKZ327700 TUP327700:TUV327700 UEL327700:UER327700 UOH327700:UON327700 UYD327700:UYJ327700 VHZ327700:VIF327700 VRV327700:VSB327700 WBR327700:WBX327700 WLN327700:WLT327700 WVJ327700:WVP327700 B393236:H393236 IX393236:JD393236 ST393236:SZ393236 ACP393236:ACV393236 AML393236:AMR393236 AWH393236:AWN393236 BGD393236:BGJ393236 BPZ393236:BQF393236 BZV393236:CAB393236 CJR393236:CJX393236 CTN393236:CTT393236 DDJ393236:DDP393236 DNF393236:DNL393236 DXB393236:DXH393236 EGX393236:EHD393236 EQT393236:EQZ393236 FAP393236:FAV393236 FKL393236:FKR393236 FUH393236:FUN393236 GED393236:GEJ393236 GNZ393236:GOF393236 GXV393236:GYB393236 HHR393236:HHX393236 HRN393236:HRT393236 IBJ393236:IBP393236 ILF393236:ILL393236 IVB393236:IVH393236 JEX393236:JFD393236 JOT393236:JOZ393236 JYP393236:JYV393236 KIL393236:KIR393236 KSH393236:KSN393236 LCD393236:LCJ393236 LLZ393236:LMF393236 LVV393236:LWB393236 MFR393236:MFX393236 MPN393236:MPT393236 MZJ393236:MZP393236 NJF393236:NJL393236 NTB393236:NTH393236 OCX393236:ODD393236 OMT393236:OMZ393236 OWP393236:OWV393236 PGL393236:PGR393236 PQH393236:PQN393236 QAD393236:QAJ393236 QJZ393236:QKF393236 QTV393236:QUB393236 RDR393236:RDX393236 RNN393236:RNT393236 RXJ393236:RXP393236 SHF393236:SHL393236 SRB393236:SRH393236 TAX393236:TBD393236 TKT393236:TKZ393236 TUP393236:TUV393236 UEL393236:UER393236 UOH393236:UON393236 UYD393236:UYJ393236 VHZ393236:VIF393236 VRV393236:VSB393236 WBR393236:WBX393236 WLN393236:WLT393236 WVJ393236:WVP393236 B458772:H458772 IX458772:JD458772 ST458772:SZ458772 ACP458772:ACV458772 AML458772:AMR458772 AWH458772:AWN458772 BGD458772:BGJ458772 BPZ458772:BQF458772 BZV458772:CAB458772 CJR458772:CJX458772 CTN458772:CTT458772 DDJ458772:DDP458772 DNF458772:DNL458772 DXB458772:DXH458772 EGX458772:EHD458772 EQT458772:EQZ458772 FAP458772:FAV458772 FKL458772:FKR458772 FUH458772:FUN458772 GED458772:GEJ458772 GNZ458772:GOF458772 GXV458772:GYB458772 HHR458772:HHX458772 HRN458772:HRT458772 IBJ458772:IBP458772 ILF458772:ILL458772 IVB458772:IVH458772 JEX458772:JFD458772 JOT458772:JOZ458772 JYP458772:JYV458772 KIL458772:KIR458772 KSH458772:KSN458772 LCD458772:LCJ458772 LLZ458772:LMF458772 LVV458772:LWB458772 MFR458772:MFX458772 MPN458772:MPT458772 MZJ458772:MZP458772 NJF458772:NJL458772 NTB458772:NTH458772 OCX458772:ODD458772 OMT458772:OMZ458772 OWP458772:OWV458772 PGL458772:PGR458772 PQH458772:PQN458772 QAD458772:QAJ458772 QJZ458772:QKF458772 QTV458772:QUB458772 RDR458772:RDX458772 RNN458772:RNT458772 RXJ458772:RXP458772 SHF458772:SHL458772 SRB458772:SRH458772 TAX458772:TBD458772 TKT458772:TKZ458772 TUP458772:TUV458772 UEL458772:UER458772 UOH458772:UON458772 UYD458772:UYJ458772 VHZ458772:VIF458772 VRV458772:VSB458772 WBR458772:WBX458772 WLN458772:WLT458772 WVJ458772:WVP458772 B524308:H524308 IX524308:JD524308 ST524308:SZ524308 ACP524308:ACV524308 AML524308:AMR524308 AWH524308:AWN524308 BGD524308:BGJ524308 BPZ524308:BQF524308 BZV524308:CAB524308 CJR524308:CJX524308 CTN524308:CTT524308 DDJ524308:DDP524308 DNF524308:DNL524308 DXB524308:DXH524308 EGX524308:EHD524308 EQT524308:EQZ524308 FAP524308:FAV524308 FKL524308:FKR524308 FUH524308:FUN524308 GED524308:GEJ524308 GNZ524308:GOF524308 GXV524308:GYB524308 HHR524308:HHX524308 HRN524308:HRT524308 IBJ524308:IBP524308 ILF524308:ILL524308 IVB524308:IVH524308 JEX524308:JFD524308 JOT524308:JOZ524308 JYP524308:JYV524308 KIL524308:KIR524308 KSH524308:KSN524308 LCD524308:LCJ524308 LLZ524308:LMF524308 LVV524308:LWB524308 MFR524308:MFX524308 MPN524308:MPT524308 MZJ524308:MZP524308 NJF524308:NJL524308 NTB524308:NTH524308 OCX524308:ODD524308 OMT524308:OMZ524308 OWP524308:OWV524308 PGL524308:PGR524308 PQH524308:PQN524308 QAD524308:QAJ524308 QJZ524308:QKF524308 QTV524308:QUB524308 RDR524308:RDX524308 RNN524308:RNT524308 RXJ524308:RXP524308 SHF524308:SHL524308 SRB524308:SRH524308 TAX524308:TBD524308 TKT524308:TKZ524308 TUP524308:TUV524308 UEL524308:UER524308 UOH524308:UON524308 UYD524308:UYJ524308 VHZ524308:VIF524308 VRV524308:VSB524308 WBR524308:WBX524308 WLN524308:WLT524308 WVJ524308:WVP524308 B589844:H589844 IX589844:JD589844 ST589844:SZ589844 ACP589844:ACV589844 AML589844:AMR589844 AWH589844:AWN589844 BGD589844:BGJ589844 BPZ589844:BQF589844 BZV589844:CAB589844 CJR589844:CJX589844 CTN589844:CTT589844 DDJ589844:DDP589844 DNF589844:DNL589844 DXB589844:DXH589844 EGX589844:EHD589844 EQT589844:EQZ589844 FAP589844:FAV589844 FKL589844:FKR589844 FUH589844:FUN589844 GED589844:GEJ589844 GNZ589844:GOF589844 GXV589844:GYB589844 HHR589844:HHX589844 HRN589844:HRT589844 IBJ589844:IBP589844 ILF589844:ILL589844 IVB589844:IVH589844 JEX589844:JFD589844 JOT589844:JOZ589844 JYP589844:JYV589844 KIL589844:KIR589844 KSH589844:KSN589844 LCD589844:LCJ589844 LLZ589844:LMF589844 LVV589844:LWB589844 MFR589844:MFX589844 MPN589844:MPT589844 MZJ589844:MZP589844 NJF589844:NJL589844 NTB589844:NTH589844 OCX589844:ODD589844 OMT589844:OMZ589844 OWP589844:OWV589844 PGL589844:PGR589844 PQH589844:PQN589844 QAD589844:QAJ589844 QJZ589844:QKF589844 QTV589844:QUB589844 RDR589844:RDX589844 RNN589844:RNT589844 RXJ589844:RXP589844 SHF589844:SHL589844 SRB589844:SRH589844 TAX589844:TBD589844 TKT589844:TKZ589844 TUP589844:TUV589844 UEL589844:UER589844 UOH589844:UON589844 UYD589844:UYJ589844 VHZ589844:VIF589844 VRV589844:VSB589844 WBR589844:WBX589844 WLN589844:WLT589844 WVJ589844:WVP589844 B655380:H655380 IX655380:JD655380 ST655380:SZ655380 ACP655380:ACV655380 AML655380:AMR655380 AWH655380:AWN655380 BGD655380:BGJ655380 BPZ655380:BQF655380 BZV655380:CAB655380 CJR655380:CJX655380 CTN655380:CTT655380 DDJ655380:DDP655380 DNF655380:DNL655380 DXB655380:DXH655380 EGX655380:EHD655380 EQT655380:EQZ655380 FAP655380:FAV655380 FKL655380:FKR655380 FUH655380:FUN655380 GED655380:GEJ655380 GNZ655380:GOF655380 GXV655380:GYB655380 HHR655380:HHX655380 HRN655380:HRT655380 IBJ655380:IBP655380 ILF655380:ILL655380 IVB655380:IVH655380 JEX655380:JFD655380 JOT655380:JOZ655380 JYP655380:JYV655380 KIL655380:KIR655380 KSH655380:KSN655380 LCD655380:LCJ655380 LLZ655380:LMF655380 LVV655380:LWB655380 MFR655380:MFX655380 MPN655380:MPT655380 MZJ655380:MZP655380 NJF655380:NJL655380 NTB655380:NTH655380 OCX655380:ODD655380 OMT655380:OMZ655380 OWP655380:OWV655380 PGL655380:PGR655380 PQH655380:PQN655380 QAD655380:QAJ655380 QJZ655380:QKF655380 QTV655380:QUB655380 RDR655380:RDX655380 RNN655380:RNT655380 RXJ655380:RXP655380 SHF655380:SHL655380 SRB655380:SRH655380 TAX655380:TBD655380 TKT655380:TKZ655380 TUP655380:TUV655380 UEL655380:UER655380 UOH655380:UON655380 UYD655380:UYJ655380 VHZ655380:VIF655380 VRV655380:VSB655380 WBR655380:WBX655380 WLN655380:WLT655380 WVJ655380:WVP655380 B720916:H720916 IX720916:JD720916 ST720916:SZ720916 ACP720916:ACV720916 AML720916:AMR720916 AWH720916:AWN720916 BGD720916:BGJ720916 BPZ720916:BQF720916 BZV720916:CAB720916 CJR720916:CJX720916 CTN720916:CTT720916 DDJ720916:DDP720916 DNF720916:DNL720916 DXB720916:DXH720916 EGX720916:EHD720916 EQT720916:EQZ720916 FAP720916:FAV720916 FKL720916:FKR720916 FUH720916:FUN720916 GED720916:GEJ720916 GNZ720916:GOF720916 GXV720916:GYB720916 HHR720916:HHX720916 HRN720916:HRT720916 IBJ720916:IBP720916 ILF720916:ILL720916 IVB720916:IVH720916 JEX720916:JFD720916 JOT720916:JOZ720916 JYP720916:JYV720916 KIL720916:KIR720916 KSH720916:KSN720916 LCD720916:LCJ720916 LLZ720916:LMF720916 LVV720916:LWB720916 MFR720916:MFX720916 MPN720916:MPT720916 MZJ720916:MZP720916 NJF720916:NJL720916 NTB720916:NTH720916 OCX720916:ODD720916 OMT720916:OMZ720916 OWP720916:OWV720916 PGL720916:PGR720916 PQH720916:PQN720916 QAD720916:QAJ720916 QJZ720916:QKF720916 QTV720916:QUB720916 RDR720916:RDX720916 RNN720916:RNT720916 RXJ720916:RXP720916 SHF720916:SHL720916 SRB720916:SRH720916 TAX720916:TBD720916 TKT720916:TKZ720916 TUP720916:TUV720916 UEL720916:UER720916 UOH720916:UON720916 UYD720916:UYJ720916 VHZ720916:VIF720916 VRV720916:VSB720916 WBR720916:WBX720916 WLN720916:WLT720916 WVJ720916:WVP720916 B786452:H786452 IX786452:JD786452 ST786452:SZ786452 ACP786452:ACV786452 AML786452:AMR786452 AWH786452:AWN786452 BGD786452:BGJ786452 BPZ786452:BQF786452 BZV786452:CAB786452 CJR786452:CJX786452 CTN786452:CTT786452 DDJ786452:DDP786452 DNF786452:DNL786452 DXB786452:DXH786452 EGX786452:EHD786452 EQT786452:EQZ786452 FAP786452:FAV786452 FKL786452:FKR786452 FUH786452:FUN786452 GED786452:GEJ786452 GNZ786452:GOF786452 GXV786452:GYB786452 HHR786452:HHX786452 HRN786452:HRT786452 IBJ786452:IBP786452 ILF786452:ILL786452 IVB786452:IVH786452 JEX786452:JFD786452 JOT786452:JOZ786452 JYP786452:JYV786452 KIL786452:KIR786452 KSH786452:KSN786452 LCD786452:LCJ786452 LLZ786452:LMF786452 LVV786452:LWB786452 MFR786452:MFX786452 MPN786452:MPT786452 MZJ786452:MZP786452 NJF786452:NJL786452 NTB786452:NTH786452 OCX786452:ODD786452 OMT786452:OMZ786452 OWP786452:OWV786452 PGL786452:PGR786452 PQH786452:PQN786452 QAD786452:QAJ786452 QJZ786452:QKF786452 QTV786452:QUB786452 RDR786452:RDX786452 RNN786452:RNT786452 RXJ786452:RXP786452 SHF786452:SHL786452 SRB786452:SRH786452 TAX786452:TBD786452 TKT786452:TKZ786452 TUP786452:TUV786452 UEL786452:UER786452 UOH786452:UON786452 UYD786452:UYJ786452 VHZ786452:VIF786452 VRV786452:VSB786452 WBR786452:WBX786452 WLN786452:WLT786452 WVJ786452:WVP786452 B851988:H851988 IX851988:JD851988 ST851988:SZ851988 ACP851988:ACV851988 AML851988:AMR851988 AWH851988:AWN851988 BGD851988:BGJ851988 BPZ851988:BQF851988 BZV851988:CAB851988 CJR851988:CJX851988 CTN851988:CTT851988 DDJ851988:DDP851988 DNF851988:DNL851988 DXB851988:DXH851988 EGX851988:EHD851988 EQT851988:EQZ851988 FAP851988:FAV851988 FKL851988:FKR851988 FUH851988:FUN851988 GED851988:GEJ851988 GNZ851988:GOF851988 GXV851988:GYB851988 HHR851988:HHX851988 HRN851988:HRT851988 IBJ851988:IBP851988 ILF851988:ILL851988 IVB851988:IVH851988 JEX851988:JFD851988 JOT851988:JOZ851988 JYP851988:JYV851988 KIL851988:KIR851988 KSH851988:KSN851988 LCD851988:LCJ851988 LLZ851988:LMF851988 LVV851988:LWB851988 MFR851988:MFX851988 MPN851988:MPT851988 MZJ851988:MZP851988 NJF851988:NJL851988 NTB851988:NTH851988 OCX851988:ODD851988 OMT851988:OMZ851988 OWP851988:OWV851988 PGL851988:PGR851988 PQH851988:PQN851988 QAD851988:QAJ851988 QJZ851988:QKF851988 QTV851988:QUB851988 RDR851988:RDX851988 RNN851988:RNT851988 RXJ851988:RXP851988 SHF851988:SHL851988 SRB851988:SRH851988 TAX851988:TBD851988 TKT851988:TKZ851988 TUP851988:TUV851988 UEL851988:UER851988 UOH851988:UON851988 UYD851988:UYJ851988 VHZ851988:VIF851988 VRV851988:VSB851988 WBR851988:WBX851988 WLN851988:WLT851988 WVJ851988:WVP851988 B917524:H917524 IX917524:JD917524 ST917524:SZ917524 ACP917524:ACV917524 AML917524:AMR917524 AWH917524:AWN917524 BGD917524:BGJ917524 BPZ917524:BQF917524 BZV917524:CAB917524 CJR917524:CJX917524 CTN917524:CTT917524 DDJ917524:DDP917524 DNF917524:DNL917524 DXB917524:DXH917524 EGX917524:EHD917524 EQT917524:EQZ917524 FAP917524:FAV917524 FKL917524:FKR917524 FUH917524:FUN917524 GED917524:GEJ917524 GNZ917524:GOF917524 GXV917524:GYB917524 HHR917524:HHX917524 HRN917524:HRT917524 IBJ917524:IBP917524 ILF917524:ILL917524 IVB917524:IVH917524 JEX917524:JFD917524 JOT917524:JOZ917524 JYP917524:JYV917524 KIL917524:KIR917524 KSH917524:KSN917524 LCD917524:LCJ917524 LLZ917524:LMF917524 LVV917524:LWB917524 MFR917524:MFX917524 MPN917524:MPT917524 MZJ917524:MZP917524 NJF917524:NJL917524 NTB917524:NTH917524 OCX917524:ODD917524 OMT917524:OMZ917524 OWP917524:OWV917524 PGL917524:PGR917524 PQH917524:PQN917524 QAD917524:QAJ917524 QJZ917524:QKF917524 QTV917524:QUB917524 RDR917524:RDX917524 RNN917524:RNT917524 RXJ917524:RXP917524 SHF917524:SHL917524 SRB917524:SRH917524 TAX917524:TBD917524 TKT917524:TKZ917524 TUP917524:TUV917524 UEL917524:UER917524 UOH917524:UON917524 UYD917524:UYJ917524 VHZ917524:VIF917524 VRV917524:VSB917524 WBR917524:WBX917524 WLN917524:WLT917524 WVJ917524:WVP917524 B983060:H983060 IX983060:JD983060 ST983060:SZ983060 ACP983060:ACV983060 AML983060:AMR983060 AWH983060:AWN983060 BGD983060:BGJ983060 BPZ983060:BQF983060 BZV983060:CAB983060 CJR983060:CJX983060 CTN983060:CTT983060 DDJ983060:DDP983060 DNF983060:DNL983060 DXB983060:DXH983060 EGX983060:EHD983060 EQT983060:EQZ983060 FAP983060:FAV983060 FKL983060:FKR983060 FUH983060:FUN983060 GED983060:GEJ983060 GNZ983060:GOF983060 GXV983060:GYB983060 HHR983060:HHX983060 HRN983060:HRT983060 IBJ983060:IBP983060 ILF983060:ILL983060 IVB983060:IVH983060 JEX983060:JFD983060 JOT983060:JOZ983060 JYP983060:JYV983060 KIL983060:KIR983060 KSH983060:KSN983060 LCD983060:LCJ983060 LLZ983060:LMF983060 LVV983060:LWB983060 MFR983060:MFX983060 MPN983060:MPT983060 MZJ983060:MZP983060 NJF983060:NJL983060 NTB983060:NTH983060 OCX983060:ODD983060 OMT983060:OMZ983060 OWP983060:OWV983060 PGL983060:PGR983060 PQH983060:PQN983060 QAD983060:QAJ983060 QJZ983060:QKF983060 QTV983060:QUB983060 RDR983060:RDX983060 RNN983060:RNT983060 RXJ983060:RXP983060 SHF983060:SHL983060 SRB983060:SRH983060 TAX983060:TBD983060 TKT983060:TKZ983060 TUP983060:TUV983060 UEL983060:UER983060 UOH983060:UON983060 UYD983060:UYJ983060 VHZ983060:VIF983060 VRV983060:VSB983060 WBR983060:WBX983060 WLN983060:WLT983060 WVJ983060:WVP983060 B36:H36 IX36:JD36 ST36:SZ36 ACP36:ACV36 AML36:AMR36 AWH36:AWN36 BGD36:BGJ36 BPZ36:BQF36 BZV36:CAB36 CJR36:CJX36 CTN36:CTT36 DDJ36:DDP36 DNF36:DNL36 DXB36:DXH36 EGX36:EHD36 EQT36:EQZ36 FAP36:FAV36 FKL36:FKR36 FUH36:FUN36 GED36:GEJ36 GNZ36:GOF36 GXV36:GYB36 HHR36:HHX36 HRN36:HRT36 IBJ36:IBP36 ILF36:ILL36 IVB36:IVH36 JEX36:JFD36 JOT36:JOZ36 JYP36:JYV36 KIL36:KIR36 KSH36:KSN36 LCD36:LCJ36 LLZ36:LMF36 LVV36:LWB36 MFR36:MFX36 MPN36:MPT36 MZJ36:MZP36 NJF36:NJL36 NTB36:NTH36 OCX36:ODD36 OMT36:OMZ36 OWP36:OWV36 PGL36:PGR36 PQH36:PQN36 QAD36:QAJ36 QJZ36:QKF36 QTV36:QUB36 RDR36:RDX36 RNN36:RNT36 RXJ36:RXP36 SHF36:SHL36 SRB36:SRH36 TAX36:TBD36 TKT36:TKZ36 TUP36:TUV36 UEL36:UER36 UOH36:UON36 UYD36:UYJ36 VHZ36:VIF36 VRV36:VSB36 WBR36:WBX36 WLN36:WLT36 WVJ36:WVP36 B65572:H65572 IX65572:JD65572 ST65572:SZ65572 ACP65572:ACV65572 AML65572:AMR65572 AWH65572:AWN65572 BGD65572:BGJ65572 BPZ65572:BQF65572 BZV65572:CAB65572 CJR65572:CJX65572 CTN65572:CTT65572 DDJ65572:DDP65572 DNF65572:DNL65572 DXB65572:DXH65572 EGX65572:EHD65572 EQT65572:EQZ65572 FAP65572:FAV65572 FKL65572:FKR65572 FUH65572:FUN65572 GED65572:GEJ65572 GNZ65572:GOF65572 GXV65572:GYB65572 HHR65572:HHX65572 HRN65572:HRT65572 IBJ65572:IBP65572 ILF65572:ILL65572 IVB65572:IVH65572 JEX65572:JFD65572 JOT65572:JOZ65572 JYP65572:JYV65572 KIL65572:KIR65572 KSH65572:KSN65572 LCD65572:LCJ65572 LLZ65572:LMF65572 LVV65572:LWB65572 MFR65572:MFX65572 MPN65572:MPT65572 MZJ65572:MZP65572 NJF65572:NJL65572 NTB65572:NTH65572 OCX65572:ODD65572 OMT65572:OMZ65572 OWP65572:OWV65572 PGL65572:PGR65572 PQH65572:PQN65572 QAD65572:QAJ65572 QJZ65572:QKF65572 QTV65572:QUB65572 RDR65572:RDX65572 RNN65572:RNT65572 RXJ65572:RXP65572 SHF65572:SHL65572 SRB65572:SRH65572 TAX65572:TBD65572 TKT65572:TKZ65572 TUP65572:TUV65572 UEL65572:UER65572 UOH65572:UON65572 UYD65572:UYJ65572 VHZ65572:VIF65572 VRV65572:VSB65572 WBR65572:WBX65572 WLN65572:WLT65572 WVJ65572:WVP65572 B131108:H131108 IX131108:JD131108 ST131108:SZ131108 ACP131108:ACV131108 AML131108:AMR131108 AWH131108:AWN131108 BGD131108:BGJ131108 BPZ131108:BQF131108 BZV131108:CAB131108 CJR131108:CJX131108 CTN131108:CTT131108 DDJ131108:DDP131108 DNF131108:DNL131108 DXB131108:DXH131108 EGX131108:EHD131108 EQT131108:EQZ131108 FAP131108:FAV131108 FKL131108:FKR131108 FUH131108:FUN131108 GED131108:GEJ131108 GNZ131108:GOF131108 GXV131108:GYB131108 HHR131108:HHX131108 HRN131108:HRT131108 IBJ131108:IBP131108 ILF131108:ILL131108 IVB131108:IVH131108 JEX131108:JFD131108 JOT131108:JOZ131108 JYP131108:JYV131108 KIL131108:KIR131108 KSH131108:KSN131108 LCD131108:LCJ131108 LLZ131108:LMF131108 LVV131108:LWB131108 MFR131108:MFX131108 MPN131108:MPT131108 MZJ131108:MZP131108 NJF131108:NJL131108 NTB131108:NTH131108 OCX131108:ODD131108 OMT131108:OMZ131108 OWP131108:OWV131108 PGL131108:PGR131108 PQH131108:PQN131108 QAD131108:QAJ131108 QJZ131108:QKF131108 QTV131108:QUB131108 RDR131108:RDX131108 RNN131108:RNT131108 RXJ131108:RXP131108 SHF131108:SHL131108 SRB131108:SRH131108 TAX131108:TBD131108 TKT131108:TKZ131108 TUP131108:TUV131108 UEL131108:UER131108 UOH131108:UON131108 UYD131108:UYJ131108 VHZ131108:VIF131108 VRV131108:VSB131108 WBR131108:WBX131108 WLN131108:WLT131108 WVJ131108:WVP131108 B196644:H196644 IX196644:JD196644 ST196644:SZ196644 ACP196644:ACV196644 AML196644:AMR196644 AWH196644:AWN196644 BGD196644:BGJ196644 BPZ196644:BQF196644 BZV196644:CAB196644 CJR196644:CJX196644 CTN196644:CTT196644 DDJ196644:DDP196644 DNF196644:DNL196644 DXB196644:DXH196644 EGX196644:EHD196644 EQT196644:EQZ196644 FAP196644:FAV196644 FKL196644:FKR196644 FUH196644:FUN196644 GED196644:GEJ196644 GNZ196644:GOF196644 GXV196644:GYB196644 HHR196644:HHX196644 HRN196644:HRT196644 IBJ196644:IBP196644 ILF196644:ILL196644 IVB196644:IVH196644 JEX196644:JFD196644 JOT196644:JOZ196644 JYP196644:JYV196644 KIL196644:KIR196644 KSH196644:KSN196644 LCD196644:LCJ196644 LLZ196644:LMF196644 LVV196644:LWB196644 MFR196644:MFX196644 MPN196644:MPT196644 MZJ196644:MZP196644 NJF196644:NJL196644 NTB196644:NTH196644 OCX196644:ODD196644 OMT196644:OMZ196644 OWP196644:OWV196644 PGL196644:PGR196644 PQH196644:PQN196644 QAD196644:QAJ196644 QJZ196644:QKF196644 QTV196644:QUB196644 RDR196644:RDX196644 RNN196644:RNT196644 RXJ196644:RXP196644 SHF196644:SHL196644 SRB196644:SRH196644 TAX196644:TBD196644 TKT196644:TKZ196644 TUP196644:TUV196644 UEL196644:UER196644 UOH196644:UON196644 UYD196644:UYJ196644 VHZ196644:VIF196644 VRV196644:VSB196644 WBR196644:WBX196644 WLN196644:WLT196644 WVJ196644:WVP196644 B262180:H262180 IX262180:JD262180 ST262180:SZ262180 ACP262180:ACV262180 AML262180:AMR262180 AWH262180:AWN262180 BGD262180:BGJ262180 BPZ262180:BQF262180 BZV262180:CAB262180 CJR262180:CJX262180 CTN262180:CTT262180 DDJ262180:DDP262180 DNF262180:DNL262180 DXB262180:DXH262180 EGX262180:EHD262180 EQT262180:EQZ262180 FAP262180:FAV262180 FKL262180:FKR262180 FUH262180:FUN262180 GED262180:GEJ262180 GNZ262180:GOF262180 GXV262180:GYB262180 HHR262180:HHX262180 HRN262180:HRT262180 IBJ262180:IBP262180 ILF262180:ILL262180 IVB262180:IVH262180 JEX262180:JFD262180 JOT262180:JOZ262180 JYP262180:JYV262180 KIL262180:KIR262180 KSH262180:KSN262180 LCD262180:LCJ262180 LLZ262180:LMF262180 LVV262180:LWB262180 MFR262180:MFX262180 MPN262180:MPT262180 MZJ262180:MZP262180 NJF262180:NJL262180 NTB262180:NTH262180 OCX262180:ODD262180 OMT262180:OMZ262180 OWP262180:OWV262180 PGL262180:PGR262180 PQH262180:PQN262180 QAD262180:QAJ262180 QJZ262180:QKF262180 QTV262180:QUB262180 RDR262180:RDX262180 RNN262180:RNT262180 RXJ262180:RXP262180 SHF262180:SHL262180 SRB262180:SRH262180 TAX262180:TBD262180 TKT262180:TKZ262180 TUP262180:TUV262180 UEL262180:UER262180 UOH262180:UON262180 UYD262180:UYJ262180 VHZ262180:VIF262180 VRV262180:VSB262180 WBR262180:WBX262180 WLN262180:WLT262180 WVJ262180:WVP262180 B327716:H327716 IX327716:JD327716 ST327716:SZ327716 ACP327716:ACV327716 AML327716:AMR327716 AWH327716:AWN327716 BGD327716:BGJ327716 BPZ327716:BQF327716 BZV327716:CAB327716 CJR327716:CJX327716 CTN327716:CTT327716 DDJ327716:DDP327716 DNF327716:DNL327716 DXB327716:DXH327716 EGX327716:EHD327716 EQT327716:EQZ327716 FAP327716:FAV327716 FKL327716:FKR327716 FUH327716:FUN327716 GED327716:GEJ327716 GNZ327716:GOF327716 GXV327716:GYB327716 HHR327716:HHX327716 HRN327716:HRT327716 IBJ327716:IBP327716 ILF327716:ILL327716 IVB327716:IVH327716 JEX327716:JFD327716 JOT327716:JOZ327716 JYP327716:JYV327716 KIL327716:KIR327716 KSH327716:KSN327716 LCD327716:LCJ327716 LLZ327716:LMF327716 LVV327716:LWB327716 MFR327716:MFX327716 MPN327716:MPT327716 MZJ327716:MZP327716 NJF327716:NJL327716 NTB327716:NTH327716 OCX327716:ODD327716 OMT327716:OMZ327716 OWP327716:OWV327716 PGL327716:PGR327716 PQH327716:PQN327716 QAD327716:QAJ327716 QJZ327716:QKF327716 QTV327716:QUB327716 RDR327716:RDX327716 RNN327716:RNT327716 RXJ327716:RXP327716 SHF327716:SHL327716 SRB327716:SRH327716 TAX327716:TBD327716 TKT327716:TKZ327716 TUP327716:TUV327716 UEL327716:UER327716 UOH327716:UON327716 UYD327716:UYJ327716 VHZ327716:VIF327716 VRV327716:VSB327716 WBR327716:WBX327716 WLN327716:WLT327716 WVJ327716:WVP327716 B393252:H393252 IX393252:JD393252 ST393252:SZ393252 ACP393252:ACV393252 AML393252:AMR393252 AWH393252:AWN393252 BGD393252:BGJ393252 BPZ393252:BQF393252 BZV393252:CAB393252 CJR393252:CJX393252 CTN393252:CTT393252 DDJ393252:DDP393252 DNF393252:DNL393252 DXB393252:DXH393252 EGX393252:EHD393252 EQT393252:EQZ393252 FAP393252:FAV393252 FKL393252:FKR393252 FUH393252:FUN393252 GED393252:GEJ393252 GNZ393252:GOF393252 GXV393252:GYB393252 HHR393252:HHX393252 HRN393252:HRT393252 IBJ393252:IBP393252 ILF393252:ILL393252 IVB393252:IVH393252 JEX393252:JFD393252 JOT393252:JOZ393252 JYP393252:JYV393252 KIL393252:KIR393252 KSH393252:KSN393252 LCD393252:LCJ393252 LLZ393252:LMF393252 LVV393252:LWB393252 MFR393252:MFX393252 MPN393252:MPT393252 MZJ393252:MZP393252 NJF393252:NJL393252 NTB393252:NTH393252 OCX393252:ODD393252 OMT393252:OMZ393252 OWP393252:OWV393252 PGL393252:PGR393252 PQH393252:PQN393252 QAD393252:QAJ393252 QJZ393252:QKF393252 QTV393252:QUB393252 RDR393252:RDX393252 RNN393252:RNT393252 RXJ393252:RXP393252 SHF393252:SHL393252 SRB393252:SRH393252 TAX393252:TBD393252 TKT393252:TKZ393252 TUP393252:TUV393252 UEL393252:UER393252 UOH393252:UON393252 UYD393252:UYJ393252 VHZ393252:VIF393252 VRV393252:VSB393252 WBR393252:WBX393252 WLN393252:WLT393252 WVJ393252:WVP393252 B458788:H458788 IX458788:JD458788 ST458788:SZ458788 ACP458788:ACV458788 AML458788:AMR458788 AWH458788:AWN458788 BGD458788:BGJ458788 BPZ458788:BQF458788 BZV458788:CAB458788 CJR458788:CJX458788 CTN458788:CTT458788 DDJ458788:DDP458788 DNF458788:DNL458788 DXB458788:DXH458788 EGX458788:EHD458788 EQT458788:EQZ458788 FAP458788:FAV458788 FKL458788:FKR458788 FUH458788:FUN458788 GED458788:GEJ458788 GNZ458788:GOF458788 GXV458788:GYB458788 HHR458788:HHX458788 HRN458788:HRT458788 IBJ458788:IBP458788 ILF458788:ILL458788 IVB458788:IVH458788 JEX458788:JFD458788 JOT458788:JOZ458788 JYP458788:JYV458788 KIL458788:KIR458788 KSH458788:KSN458788 LCD458788:LCJ458788 LLZ458788:LMF458788 LVV458788:LWB458788 MFR458788:MFX458788 MPN458788:MPT458788 MZJ458788:MZP458788 NJF458788:NJL458788 NTB458788:NTH458788 OCX458788:ODD458788 OMT458788:OMZ458788 OWP458788:OWV458788 PGL458788:PGR458788 PQH458788:PQN458788 QAD458788:QAJ458788 QJZ458788:QKF458788 QTV458788:QUB458788 RDR458788:RDX458788 RNN458788:RNT458788 RXJ458788:RXP458788 SHF458788:SHL458788 SRB458788:SRH458788 TAX458788:TBD458788 TKT458788:TKZ458788 TUP458788:TUV458788 UEL458788:UER458788 UOH458788:UON458788 UYD458788:UYJ458788 VHZ458788:VIF458788 VRV458788:VSB458788 WBR458788:WBX458788 WLN458788:WLT458788 WVJ458788:WVP458788 B524324:H524324 IX524324:JD524324 ST524324:SZ524324 ACP524324:ACV524324 AML524324:AMR524324 AWH524324:AWN524324 BGD524324:BGJ524324 BPZ524324:BQF524324 BZV524324:CAB524324 CJR524324:CJX524324 CTN524324:CTT524324 DDJ524324:DDP524324 DNF524324:DNL524324 DXB524324:DXH524324 EGX524324:EHD524324 EQT524324:EQZ524324 FAP524324:FAV524324 FKL524324:FKR524324 FUH524324:FUN524324 GED524324:GEJ524324 GNZ524324:GOF524324 GXV524324:GYB524324 HHR524324:HHX524324 HRN524324:HRT524324 IBJ524324:IBP524324 ILF524324:ILL524324 IVB524324:IVH524324 JEX524324:JFD524324 JOT524324:JOZ524324 JYP524324:JYV524324 KIL524324:KIR524324 KSH524324:KSN524324 LCD524324:LCJ524324 LLZ524324:LMF524324 LVV524324:LWB524324 MFR524324:MFX524324 MPN524324:MPT524324 MZJ524324:MZP524324 NJF524324:NJL524324 NTB524324:NTH524324 OCX524324:ODD524324 OMT524324:OMZ524324 OWP524324:OWV524324 PGL524324:PGR524324 PQH524324:PQN524324 QAD524324:QAJ524324 QJZ524324:QKF524324 QTV524324:QUB524324 RDR524324:RDX524324 RNN524324:RNT524324 RXJ524324:RXP524324 SHF524324:SHL524324 SRB524324:SRH524324 TAX524324:TBD524324 TKT524324:TKZ524324 TUP524324:TUV524324 UEL524324:UER524324 UOH524324:UON524324 UYD524324:UYJ524324 VHZ524324:VIF524324 VRV524324:VSB524324 WBR524324:WBX524324 WLN524324:WLT524324 WVJ524324:WVP524324 B589860:H589860 IX589860:JD589860 ST589860:SZ589860 ACP589860:ACV589860 AML589860:AMR589860 AWH589860:AWN589860 BGD589860:BGJ589860 BPZ589860:BQF589860 BZV589860:CAB589860 CJR589860:CJX589860 CTN589860:CTT589860 DDJ589860:DDP589860 DNF589860:DNL589860 DXB589860:DXH589860 EGX589860:EHD589860 EQT589860:EQZ589860 FAP589860:FAV589860 FKL589860:FKR589860 FUH589860:FUN589860 GED589860:GEJ589860 GNZ589860:GOF589860 GXV589860:GYB589860 HHR589860:HHX589860 HRN589860:HRT589860 IBJ589860:IBP589860 ILF589860:ILL589860 IVB589860:IVH589860 JEX589860:JFD589860 JOT589860:JOZ589860 JYP589860:JYV589860 KIL589860:KIR589860 KSH589860:KSN589860 LCD589860:LCJ589860 LLZ589860:LMF589860 LVV589860:LWB589860 MFR589860:MFX589860 MPN589860:MPT589860 MZJ589860:MZP589860 NJF589860:NJL589860 NTB589860:NTH589860 OCX589860:ODD589860 OMT589860:OMZ589860 OWP589860:OWV589860 PGL589860:PGR589860 PQH589860:PQN589860 QAD589860:QAJ589860 QJZ589860:QKF589860 QTV589860:QUB589860 RDR589860:RDX589860 RNN589860:RNT589860 RXJ589860:RXP589860 SHF589860:SHL589860 SRB589860:SRH589860 TAX589860:TBD589860 TKT589860:TKZ589860 TUP589860:TUV589860 UEL589860:UER589860 UOH589860:UON589860 UYD589860:UYJ589860 VHZ589860:VIF589860 VRV589860:VSB589860 WBR589860:WBX589860 WLN589860:WLT589860 WVJ589860:WVP589860 B655396:H655396 IX655396:JD655396 ST655396:SZ655396 ACP655396:ACV655396 AML655396:AMR655396 AWH655396:AWN655396 BGD655396:BGJ655396 BPZ655396:BQF655396 BZV655396:CAB655396 CJR655396:CJX655396 CTN655396:CTT655396 DDJ655396:DDP655396 DNF655396:DNL655396 DXB655396:DXH655396 EGX655396:EHD655396 EQT655396:EQZ655396 FAP655396:FAV655396 FKL655396:FKR655396 FUH655396:FUN655396 GED655396:GEJ655396 GNZ655396:GOF655396 GXV655396:GYB655396 HHR655396:HHX655396 HRN655396:HRT655396 IBJ655396:IBP655396 ILF655396:ILL655396 IVB655396:IVH655396 JEX655396:JFD655396 JOT655396:JOZ655396 JYP655396:JYV655396 KIL655396:KIR655396 KSH655396:KSN655396 LCD655396:LCJ655396 LLZ655396:LMF655396 LVV655396:LWB655396 MFR655396:MFX655396 MPN655396:MPT655396 MZJ655396:MZP655396 NJF655396:NJL655396 NTB655396:NTH655396 OCX655396:ODD655396 OMT655396:OMZ655396 OWP655396:OWV655396 PGL655396:PGR655396 PQH655396:PQN655396 QAD655396:QAJ655396 QJZ655396:QKF655396 QTV655396:QUB655396 RDR655396:RDX655396 RNN655396:RNT655396 RXJ655396:RXP655396 SHF655396:SHL655396 SRB655396:SRH655396 TAX655396:TBD655396 TKT655396:TKZ655396 TUP655396:TUV655396 UEL655396:UER655396 UOH655396:UON655396 UYD655396:UYJ655396 VHZ655396:VIF655396 VRV655396:VSB655396 WBR655396:WBX655396 WLN655396:WLT655396 WVJ655396:WVP655396 B720932:H720932 IX720932:JD720932 ST720932:SZ720932 ACP720932:ACV720932 AML720932:AMR720932 AWH720932:AWN720932 BGD720932:BGJ720932 BPZ720932:BQF720932 BZV720932:CAB720932 CJR720932:CJX720932 CTN720932:CTT720932 DDJ720932:DDP720932 DNF720932:DNL720932 DXB720932:DXH720932 EGX720932:EHD720932 EQT720932:EQZ720932 FAP720932:FAV720932 FKL720932:FKR720932 FUH720932:FUN720932 GED720932:GEJ720932 GNZ720932:GOF720932 GXV720932:GYB720932 HHR720932:HHX720932 HRN720932:HRT720932 IBJ720932:IBP720932 ILF720932:ILL720932 IVB720932:IVH720932 JEX720932:JFD720932 JOT720932:JOZ720932 JYP720932:JYV720932 KIL720932:KIR720932 KSH720932:KSN720932 LCD720932:LCJ720932 LLZ720932:LMF720932 LVV720932:LWB720932 MFR720932:MFX720932 MPN720932:MPT720932 MZJ720932:MZP720932 NJF720932:NJL720932 NTB720932:NTH720932 OCX720932:ODD720932 OMT720932:OMZ720932 OWP720932:OWV720932 PGL720932:PGR720932 PQH720932:PQN720932 QAD720932:QAJ720932 QJZ720932:QKF720932 QTV720932:QUB720932 RDR720932:RDX720932 RNN720932:RNT720932 RXJ720932:RXP720932 SHF720932:SHL720932 SRB720932:SRH720932 TAX720932:TBD720932 TKT720932:TKZ720932 TUP720932:TUV720932 UEL720932:UER720932 UOH720932:UON720932 UYD720932:UYJ720932 VHZ720932:VIF720932 VRV720932:VSB720932 WBR720932:WBX720932 WLN720932:WLT720932 WVJ720932:WVP720932 B786468:H786468 IX786468:JD786468 ST786468:SZ786468 ACP786468:ACV786468 AML786468:AMR786468 AWH786468:AWN786468 BGD786468:BGJ786468 BPZ786468:BQF786468 BZV786468:CAB786468 CJR786468:CJX786468 CTN786468:CTT786468 DDJ786468:DDP786468 DNF786468:DNL786468 DXB786468:DXH786468 EGX786468:EHD786468 EQT786468:EQZ786468 FAP786468:FAV786468 FKL786468:FKR786468 FUH786468:FUN786468 GED786468:GEJ786468 GNZ786468:GOF786468 GXV786468:GYB786468 HHR786468:HHX786468 HRN786468:HRT786468 IBJ786468:IBP786468 ILF786468:ILL786468 IVB786468:IVH786468 JEX786468:JFD786468 JOT786468:JOZ786468 JYP786468:JYV786468 KIL786468:KIR786468 KSH786468:KSN786468 LCD786468:LCJ786468 LLZ786468:LMF786468 LVV786468:LWB786468 MFR786468:MFX786468 MPN786468:MPT786468 MZJ786468:MZP786468 NJF786468:NJL786468 NTB786468:NTH786468 OCX786468:ODD786468 OMT786468:OMZ786468 OWP786468:OWV786468 PGL786468:PGR786468 PQH786468:PQN786468 QAD786468:QAJ786468 QJZ786468:QKF786468 QTV786468:QUB786468 RDR786468:RDX786468 RNN786468:RNT786468 RXJ786468:RXP786468 SHF786468:SHL786468 SRB786468:SRH786468 TAX786468:TBD786468 TKT786468:TKZ786468 TUP786468:TUV786468 UEL786468:UER786468 UOH786468:UON786468 UYD786468:UYJ786468 VHZ786468:VIF786468 VRV786468:VSB786468 WBR786468:WBX786468 WLN786468:WLT786468 WVJ786468:WVP786468 B852004:H852004 IX852004:JD852004 ST852004:SZ852004 ACP852004:ACV852004 AML852004:AMR852004 AWH852004:AWN852004 BGD852004:BGJ852004 BPZ852004:BQF852004 BZV852004:CAB852004 CJR852004:CJX852004 CTN852004:CTT852004 DDJ852004:DDP852004 DNF852004:DNL852004 DXB852004:DXH852004 EGX852004:EHD852004 EQT852004:EQZ852004 FAP852004:FAV852004 FKL852004:FKR852004 FUH852004:FUN852004 GED852004:GEJ852004 GNZ852004:GOF852004 GXV852004:GYB852004 HHR852004:HHX852004 HRN852004:HRT852004 IBJ852004:IBP852004 ILF852004:ILL852004 IVB852004:IVH852004 JEX852004:JFD852004 JOT852004:JOZ852004 JYP852004:JYV852004 KIL852004:KIR852004 KSH852004:KSN852004 LCD852004:LCJ852004 LLZ852004:LMF852004 LVV852004:LWB852004 MFR852004:MFX852004 MPN852004:MPT852004 MZJ852004:MZP852004 NJF852004:NJL852004 NTB852004:NTH852004 OCX852004:ODD852004 OMT852004:OMZ852004 OWP852004:OWV852004 PGL852004:PGR852004 PQH852004:PQN852004 QAD852004:QAJ852004 QJZ852004:QKF852004 QTV852004:QUB852004 RDR852004:RDX852004 RNN852004:RNT852004 RXJ852004:RXP852004 SHF852004:SHL852004 SRB852004:SRH852004 TAX852004:TBD852004 TKT852004:TKZ852004 TUP852004:TUV852004 UEL852004:UER852004 UOH852004:UON852004 UYD852004:UYJ852004 VHZ852004:VIF852004 VRV852004:VSB852004 WBR852004:WBX852004 WLN852004:WLT852004 WVJ852004:WVP852004 B917540:H917540 IX917540:JD917540 ST917540:SZ917540 ACP917540:ACV917540 AML917540:AMR917540 AWH917540:AWN917540 BGD917540:BGJ917540 BPZ917540:BQF917540 BZV917540:CAB917540 CJR917540:CJX917540 CTN917540:CTT917540 DDJ917540:DDP917540 DNF917540:DNL917540 DXB917540:DXH917540 EGX917540:EHD917540 EQT917540:EQZ917540 FAP917540:FAV917540 FKL917540:FKR917540 FUH917540:FUN917540 GED917540:GEJ917540 GNZ917540:GOF917540 GXV917540:GYB917540 HHR917540:HHX917540 HRN917540:HRT917540 IBJ917540:IBP917540 ILF917540:ILL917540 IVB917540:IVH917540 JEX917540:JFD917540 JOT917540:JOZ917540 JYP917540:JYV917540 KIL917540:KIR917540 KSH917540:KSN917540 LCD917540:LCJ917540 LLZ917540:LMF917540 LVV917540:LWB917540 MFR917540:MFX917540 MPN917540:MPT917540 MZJ917540:MZP917540 NJF917540:NJL917540 NTB917540:NTH917540 OCX917540:ODD917540 OMT917540:OMZ917540 OWP917540:OWV917540 PGL917540:PGR917540 PQH917540:PQN917540 QAD917540:QAJ917540 QJZ917540:QKF917540 QTV917540:QUB917540 RDR917540:RDX917540 RNN917540:RNT917540 RXJ917540:RXP917540 SHF917540:SHL917540 SRB917540:SRH917540 TAX917540:TBD917540 TKT917540:TKZ917540 TUP917540:TUV917540 UEL917540:UER917540 UOH917540:UON917540 UYD917540:UYJ917540 VHZ917540:VIF917540 VRV917540:VSB917540 WBR917540:WBX917540 WLN917540:WLT917540 WVJ917540:WVP917540 B983076:H983076 IX983076:JD983076 ST983076:SZ983076 ACP983076:ACV983076 AML983076:AMR983076 AWH983076:AWN983076 BGD983076:BGJ983076 BPZ983076:BQF983076 BZV983076:CAB983076 CJR983076:CJX983076 CTN983076:CTT983076 DDJ983076:DDP983076 DNF983076:DNL983076 DXB983076:DXH983076 EGX983076:EHD983076 EQT983076:EQZ983076 FAP983076:FAV983076 FKL983076:FKR983076 FUH983076:FUN983076 GED983076:GEJ983076 GNZ983076:GOF983076 GXV983076:GYB983076 HHR983076:HHX983076 HRN983076:HRT983076 IBJ983076:IBP983076 ILF983076:ILL983076 IVB983076:IVH983076 JEX983076:JFD983076 JOT983076:JOZ983076 JYP983076:JYV983076 KIL983076:KIR983076 KSH983076:KSN983076 LCD983076:LCJ983076 LLZ983076:LMF983076 LVV983076:LWB983076 MFR983076:MFX983076 MPN983076:MPT983076 MZJ983076:MZP983076 NJF983076:NJL983076 NTB983076:NTH983076 OCX983076:ODD983076 OMT983076:OMZ983076 OWP983076:OWV983076 PGL983076:PGR983076 PQH983076:PQN983076 QAD983076:QAJ983076 QJZ983076:QKF983076 QTV983076:QUB983076 RDR983076:RDX983076 RNN983076:RNT983076 RXJ983076:RXP983076 SHF983076:SHL983076 SRB983076:SRH983076 TAX983076:TBD983076 TKT983076:TKZ983076 TUP983076:TUV983076 UEL983076:UER983076 UOH983076:UON983076 UYD983076:UYJ983076 VHZ983076:VIF983076 VRV983076:VSB983076 WBR983076:WBX983076 WLN983076:WLT983076 WVJ983076:WVP983076 B52:H52 IX52:JD52 ST52:SZ52 ACP52:ACV52 AML52:AMR52 AWH52:AWN52 BGD52:BGJ52 BPZ52:BQF52 BZV52:CAB52 CJR52:CJX52 CTN52:CTT52 DDJ52:DDP52 DNF52:DNL52 DXB52:DXH52 EGX52:EHD52 EQT52:EQZ52 FAP52:FAV52 FKL52:FKR52 FUH52:FUN52 GED52:GEJ52 GNZ52:GOF52 GXV52:GYB52 HHR52:HHX52 HRN52:HRT52 IBJ52:IBP52 ILF52:ILL52 IVB52:IVH52 JEX52:JFD52 JOT52:JOZ52 JYP52:JYV52 KIL52:KIR52 KSH52:KSN52 LCD52:LCJ52 LLZ52:LMF52 LVV52:LWB52 MFR52:MFX52 MPN52:MPT52 MZJ52:MZP52 NJF52:NJL52 NTB52:NTH52 OCX52:ODD52 OMT52:OMZ52 OWP52:OWV52 PGL52:PGR52 PQH52:PQN52 QAD52:QAJ52 QJZ52:QKF52 QTV52:QUB52 RDR52:RDX52 RNN52:RNT52 RXJ52:RXP52 SHF52:SHL52 SRB52:SRH52 TAX52:TBD52 TKT52:TKZ52 TUP52:TUV52 UEL52:UER52 UOH52:UON52 UYD52:UYJ52 VHZ52:VIF52 VRV52:VSB52 WBR52:WBX52 WLN52:WLT52 WVJ52:WVP52 B65588:H65588 IX65588:JD65588 ST65588:SZ65588 ACP65588:ACV65588 AML65588:AMR65588 AWH65588:AWN65588 BGD65588:BGJ65588 BPZ65588:BQF65588 BZV65588:CAB65588 CJR65588:CJX65588 CTN65588:CTT65588 DDJ65588:DDP65588 DNF65588:DNL65588 DXB65588:DXH65588 EGX65588:EHD65588 EQT65588:EQZ65588 FAP65588:FAV65588 FKL65588:FKR65588 FUH65588:FUN65588 GED65588:GEJ65588 GNZ65588:GOF65588 GXV65588:GYB65588 HHR65588:HHX65588 HRN65588:HRT65588 IBJ65588:IBP65588 ILF65588:ILL65588 IVB65588:IVH65588 JEX65588:JFD65588 JOT65588:JOZ65588 JYP65588:JYV65588 KIL65588:KIR65588 KSH65588:KSN65588 LCD65588:LCJ65588 LLZ65588:LMF65588 LVV65588:LWB65588 MFR65588:MFX65588 MPN65588:MPT65588 MZJ65588:MZP65588 NJF65588:NJL65588 NTB65588:NTH65588 OCX65588:ODD65588 OMT65588:OMZ65588 OWP65588:OWV65588 PGL65588:PGR65588 PQH65588:PQN65588 QAD65588:QAJ65588 QJZ65588:QKF65588 QTV65588:QUB65588 RDR65588:RDX65588 RNN65588:RNT65588 RXJ65588:RXP65588 SHF65588:SHL65588 SRB65588:SRH65588 TAX65588:TBD65588 TKT65588:TKZ65588 TUP65588:TUV65588 UEL65588:UER65588 UOH65588:UON65588 UYD65588:UYJ65588 VHZ65588:VIF65588 VRV65588:VSB65588 WBR65588:WBX65588 WLN65588:WLT65588 WVJ65588:WVP65588 B131124:H131124 IX131124:JD131124 ST131124:SZ131124 ACP131124:ACV131124 AML131124:AMR131124 AWH131124:AWN131124 BGD131124:BGJ131124 BPZ131124:BQF131124 BZV131124:CAB131124 CJR131124:CJX131124 CTN131124:CTT131124 DDJ131124:DDP131124 DNF131124:DNL131124 DXB131124:DXH131124 EGX131124:EHD131124 EQT131124:EQZ131124 FAP131124:FAV131124 FKL131124:FKR131124 FUH131124:FUN131124 GED131124:GEJ131124 GNZ131124:GOF131124 GXV131124:GYB131124 HHR131124:HHX131124 HRN131124:HRT131124 IBJ131124:IBP131124 ILF131124:ILL131124 IVB131124:IVH131124 JEX131124:JFD131124 JOT131124:JOZ131124 JYP131124:JYV131124 KIL131124:KIR131124 KSH131124:KSN131124 LCD131124:LCJ131124 LLZ131124:LMF131124 LVV131124:LWB131124 MFR131124:MFX131124 MPN131124:MPT131124 MZJ131124:MZP131124 NJF131124:NJL131124 NTB131124:NTH131124 OCX131124:ODD131124 OMT131124:OMZ131124 OWP131124:OWV131124 PGL131124:PGR131124 PQH131124:PQN131124 QAD131124:QAJ131124 QJZ131124:QKF131124 QTV131124:QUB131124 RDR131124:RDX131124 RNN131124:RNT131124 RXJ131124:RXP131124 SHF131124:SHL131124 SRB131124:SRH131124 TAX131124:TBD131124 TKT131124:TKZ131124 TUP131124:TUV131124 UEL131124:UER131124 UOH131124:UON131124 UYD131124:UYJ131124 VHZ131124:VIF131124 VRV131124:VSB131124 WBR131124:WBX131124 WLN131124:WLT131124 WVJ131124:WVP131124 B196660:H196660 IX196660:JD196660 ST196660:SZ196660 ACP196660:ACV196660 AML196660:AMR196660 AWH196660:AWN196660 BGD196660:BGJ196660 BPZ196660:BQF196660 BZV196660:CAB196660 CJR196660:CJX196660 CTN196660:CTT196660 DDJ196660:DDP196660 DNF196660:DNL196660 DXB196660:DXH196660 EGX196660:EHD196660 EQT196660:EQZ196660 FAP196660:FAV196660 FKL196660:FKR196660 FUH196660:FUN196660 GED196660:GEJ196660 GNZ196660:GOF196660 GXV196660:GYB196660 HHR196660:HHX196660 HRN196660:HRT196660 IBJ196660:IBP196660 ILF196660:ILL196660 IVB196660:IVH196660 JEX196660:JFD196660 JOT196660:JOZ196660 JYP196660:JYV196660 KIL196660:KIR196660 KSH196660:KSN196660 LCD196660:LCJ196660 LLZ196660:LMF196660 LVV196660:LWB196660 MFR196660:MFX196660 MPN196660:MPT196660 MZJ196660:MZP196660 NJF196660:NJL196660 NTB196660:NTH196660 OCX196660:ODD196660 OMT196660:OMZ196660 OWP196660:OWV196660 PGL196660:PGR196660 PQH196660:PQN196660 QAD196660:QAJ196660 QJZ196660:QKF196660 QTV196660:QUB196660 RDR196660:RDX196660 RNN196660:RNT196660 RXJ196660:RXP196660 SHF196660:SHL196660 SRB196660:SRH196660 TAX196660:TBD196660 TKT196660:TKZ196660 TUP196660:TUV196660 UEL196660:UER196660 UOH196660:UON196660 UYD196660:UYJ196660 VHZ196660:VIF196660 VRV196660:VSB196660 WBR196660:WBX196660 WLN196660:WLT196660 WVJ196660:WVP196660 B262196:H262196 IX262196:JD262196 ST262196:SZ262196 ACP262196:ACV262196 AML262196:AMR262196 AWH262196:AWN262196 BGD262196:BGJ262196 BPZ262196:BQF262196 BZV262196:CAB262196 CJR262196:CJX262196 CTN262196:CTT262196 DDJ262196:DDP262196 DNF262196:DNL262196 DXB262196:DXH262196 EGX262196:EHD262196 EQT262196:EQZ262196 FAP262196:FAV262196 FKL262196:FKR262196 FUH262196:FUN262196 GED262196:GEJ262196 GNZ262196:GOF262196 GXV262196:GYB262196 HHR262196:HHX262196 HRN262196:HRT262196 IBJ262196:IBP262196 ILF262196:ILL262196 IVB262196:IVH262196 JEX262196:JFD262196 JOT262196:JOZ262196 JYP262196:JYV262196 KIL262196:KIR262196 KSH262196:KSN262196 LCD262196:LCJ262196 LLZ262196:LMF262196 LVV262196:LWB262196 MFR262196:MFX262196 MPN262196:MPT262196 MZJ262196:MZP262196 NJF262196:NJL262196 NTB262196:NTH262196 OCX262196:ODD262196 OMT262196:OMZ262196 OWP262196:OWV262196 PGL262196:PGR262196 PQH262196:PQN262196 QAD262196:QAJ262196 QJZ262196:QKF262196 QTV262196:QUB262196 RDR262196:RDX262196 RNN262196:RNT262196 RXJ262196:RXP262196 SHF262196:SHL262196 SRB262196:SRH262196 TAX262196:TBD262196 TKT262196:TKZ262196 TUP262196:TUV262196 UEL262196:UER262196 UOH262196:UON262196 UYD262196:UYJ262196 VHZ262196:VIF262196 VRV262196:VSB262196 WBR262196:WBX262196 WLN262196:WLT262196 WVJ262196:WVP262196 B327732:H327732 IX327732:JD327732 ST327732:SZ327732 ACP327732:ACV327732 AML327732:AMR327732 AWH327732:AWN327732 BGD327732:BGJ327732 BPZ327732:BQF327732 BZV327732:CAB327732 CJR327732:CJX327732 CTN327732:CTT327732 DDJ327732:DDP327732 DNF327732:DNL327732 DXB327732:DXH327732 EGX327732:EHD327732 EQT327732:EQZ327732 FAP327732:FAV327732 FKL327732:FKR327732 FUH327732:FUN327732 GED327732:GEJ327732 GNZ327732:GOF327732 GXV327732:GYB327732 HHR327732:HHX327732 HRN327732:HRT327732 IBJ327732:IBP327732 ILF327732:ILL327732 IVB327732:IVH327732 JEX327732:JFD327732 JOT327732:JOZ327732 JYP327732:JYV327732 KIL327732:KIR327732 KSH327732:KSN327732 LCD327732:LCJ327732 LLZ327732:LMF327732 LVV327732:LWB327732 MFR327732:MFX327732 MPN327732:MPT327732 MZJ327732:MZP327732 NJF327732:NJL327732 NTB327732:NTH327732 OCX327732:ODD327732 OMT327732:OMZ327732 OWP327732:OWV327732 PGL327732:PGR327732 PQH327732:PQN327732 QAD327732:QAJ327732 QJZ327732:QKF327732 QTV327732:QUB327732 RDR327732:RDX327732 RNN327732:RNT327732 RXJ327732:RXP327732 SHF327732:SHL327732 SRB327732:SRH327732 TAX327732:TBD327732 TKT327732:TKZ327732 TUP327732:TUV327732 UEL327732:UER327732 UOH327732:UON327732 UYD327732:UYJ327732 VHZ327732:VIF327732 VRV327732:VSB327732 WBR327732:WBX327732 WLN327732:WLT327732 WVJ327732:WVP327732 B393268:H393268 IX393268:JD393268 ST393268:SZ393268 ACP393268:ACV393268 AML393268:AMR393268 AWH393268:AWN393268 BGD393268:BGJ393268 BPZ393268:BQF393268 BZV393268:CAB393268 CJR393268:CJX393268 CTN393268:CTT393268 DDJ393268:DDP393268 DNF393268:DNL393268 DXB393268:DXH393268 EGX393268:EHD393268 EQT393268:EQZ393268 FAP393268:FAV393268 FKL393268:FKR393268 FUH393268:FUN393268 GED393268:GEJ393268 GNZ393268:GOF393268 GXV393268:GYB393268 HHR393268:HHX393268 HRN393268:HRT393268 IBJ393268:IBP393268 ILF393268:ILL393268 IVB393268:IVH393268 JEX393268:JFD393268 JOT393268:JOZ393268 JYP393268:JYV393268 KIL393268:KIR393268 KSH393268:KSN393268 LCD393268:LCJ393268 LLZ393268:LMF393268 LVV393268:LWB393268 MFR393268:MFX393268 MPN393268:MPT393268 MZJ393268:MZP393268 NJF393268:NJL393268 NTB393268:NTH393268 OCX393268:ODD393268 OMT393268:OMZ393268 OWP393268:OWV393268 PGL393268:PGR393268 PQH393268:PQN393268 QAD393268:QAJ393268 QJZ393268:QKF393268 QTV393268:QUB393268 RDR393268:RDX393268 RNN393268:RNT393268 RXJ393268:RXP393268 SHF393268:SHL393268 SRB393268:SRH393268 TAX393268:TBD393268 TKT393268:TKZ393268 TUP393268:TUV393268 UEL393268:UER393268 UOH393268:UON393268 UYD393268:UYJ393268 VHZ393268:VIF393268 VRV393268:VSB393268 WBR393268:WBX393268 WLN393268:WLT393268 WVJ393268:WVP393268 B458804:H458804 IX458804:JD458804 ST458804:SZ458804 ACP458804:ACV458804 AML458804:AMR458804 AWH458804:AWN458804 BGD458804:BGJ458804 BPZ458804:BQF458804 BZV458804:CAB458804 CJR458804:CJX458804 CTN458804:CTT458804 DDJ458804:DDP458804 DNF458804:DNL458804 DXB458804:DXH458804 EGX458804:EHD458804 EQT458804:EQZ458804 FAP458804:FAV458804 FKL458804:FKR458804 FUH458804:FUN458804 GED458804:GEJ458804 GNZ458804:GOF458804 GXV458804:GYB458804 HHR458804:HHX458804 HRN458804:HRT458804 IBJ458804:IBP458804 ILF458804:ILL458804 IVB458804:IVH458804 JEX458804:JFD458804 JOT458804:JOZ458804 JYP458804:JYV458804 KIL458804:KIR458804 KSH458804:KSN458804 LCD458804:LCJ458804 LLZ458804:LMF458804 LVV458804:LWB458804 MFR458804:MFX458804 MPN458804:MPT458804 MZJ458804:MZP458804 NJF458804:NJL458804 NTB458804:NTH458804 OCX458804:ODD458804 OMT458804:OMZ458804 OWP458804:OWV458804 PGL458804:PGR458804 PQH458804:PQN458804 QAD458804:QAJ458804 QJZ458804:QKF458804 QTV458804:QUB458804 RDR458804:RDX458804 RNN458804:RNT458804 RXJ458804:RXP458804 SHF458804:SHL458804 SRB458804:SRH458804 TAX458804:TBD458804 TKT458804:TKZ458804 TUP458804:TUV458804 UEL458804:UER458804 UOH458804:UON458804 UYD458804:UYJ458804 VHZ458804:VIF458804 VRV458804:VSB458804 WBR458804:WBX458804 WLN458804:WLT458804 WVJ458804:WVP458804 B524340:H524340 IX524340:JD524340 ST524340:SZ524340 ACP524340:ACV524340 AML524340:AMR524340 AWH524340:AWN524340 BGD524340:BGJ524340 BPZ524340:BQF524340 BZV524340:CAB524340 CJR524340:CJX524340 CTN524340:CTT524340 DDJ524340:DDP524340 DNF524340:DNL524340 DXB524340:DXH524340 EGX524340:EHD524340 EQT524340:EQZ524340 FAP524340:FAV524340 FKL524340:FKR524340 FUH524340:FUN524340 GED524340:GEJ524340 GNZ524340:GOF524340 GXV524340:GYB524340 HHR524340:HHX524340 HRN524340:HRT524340 IBJ524340:IBP524340 ILF524340:ILL524340 IVB524340:IVH524340 JEX524340:JFD524340 JOT524340:JOZ524340 JYP524340:JYV524340 KIL524340:KIR524340 KSH524340:KSN524340 LCD524340:LCJ524340 LLZ524340:LMF524340 LVV524340:LWB524340 MFR524340:MFX524340 MPN524340:MPT524340 MZJ524340:MZP524340 NJF524340:NJL524340 NTB524340:NTH524340 OCX524340:ODD524340 OMT524340:OMZ524340 OWP524340:OWV524340 PGL524340:PGR524340 PQH524340:PQN524340 QAD524340:QAJ524340 QJZ524340:QKF524340 QTV524340:QUB524340 RDR524340:RDX524340 RNN524340:RNT524340 RXJ524340:RXP524340 SHF524340:SHL524340 SRB524340:SRH524340 TAX524340:TBD524340 TKT524340:TKZ524340 TUP524340:TUV524340 UEL524340:UER524340 UOH524340:UON524340 UYD524340:UYJ524340 VHZ524340:VIF524340 VRV524340:VSB524340 WBR524340:WBX524340 WLN524340:WLT524340 WVJ524340:WVP524340 B589876:H589876 IX589876:JD589876 ST589876:SZ589876 ACP589876:ACV589876 AML589876:AMR589876 AWH589876:AWN589876 BGD589876:BGJ589876 BPZ589876:BQF589876 BZV589876:CAB589876 CJR589876:CJX589876 CTN589876:CTT589876 DDJ589876:DDP589876 DNF589876:DNL589876 DXB589876:DXH589876 EGX589876:EHD589876 EQT589876:EQZ589876 FAP589876:FAV589876 FKL589876:FKR589876 FUH589876:FUN589876 GED589876:GEJ589876 GNZ589876:GOF589876 GXV589876:GYB589876 HHR589876:HHX589876 HRN589876:HRT589876 IBJ589876:IBP589876 ILF589876:ILL589876 IVB589876:IVH589876 JEX589876:JFD589876 JOT589876:JOZ589876 JYP589876:JYV589876 KIL589876:KIR589876 KSH589876:KSN589876 LCD589876:LCJ589876 LLZ589876:LMF589876 LVV589876:LWB589876 MFR589876:MFX589876 MPN589876:MPT589876 MZJ589876:MZP589876 NJF589876:NJL589876 NTB589876:NTH589876 OCX589876:ODD589876 OMT589876:OMZ589876 OWP589876:OWV589876 PGL589876:PGR589876 PQH589876:PQN589876 QAD589876:QAJ589876 QJZ589876:QKF589876 QTV589876:QUB589876 RDR589876:RDX589876 RNN589876:RNT589876 RXJ589876:RXP589876 SHF589876:SHL589876 SRB589876:SRH589876 TAX589876:TBD589876 TKT589876:TKZ589876 TUP589876:TUV589876 UEL589876:UER589876 UOH589876:UON589876 UYD589876:UYJ589876 VHZ589876:VIF589876 VRV589876:VSB589876 WBR589876:WBX589876 WLN589876:WLT589876 WVJ589876:WVP589876 B655412:H655412 IX655412:JD655412 ST655412:SZ655412 ACP655412:ACV655412 AML655412:AMR655412 AWH655412:AWN655412 BGD655412:BGJ655412 BPZ655412:BQF655412 BZV655412:CAB655412 CJR655412:CJX655412 CTN655412:CTT655412 DDJ655412:DDP655412 DNF655412:DNL655412 DXB655412:DXH655412 EGX655412:EHD655412 EQT655412:EQZ655412 FAP655412:FAV655412 FKL655412:FKR655412 FUH655412:FUN655412 GED655412:GEJ655412 GNZ655412:GOF655412 GXV655412:GYB655412 HHR655412:HHX655412 HRN655412:HRT655412 IBJ655412:IBP655412 ILF655412:ILL655412 IVB655412:IVH655412 JEX655412:JFD655412 JOT655412:JOZ655412 JYP655412:JYV655412 KIL655412:KIR655412 KSH655412:KSN655412 LCD655412:LCJ655412 LLZ655412:LMF655412 LVV655412:LWB655412 MFR655412:MFX655412 MPN655412:MPT655412 MZJ655412:MZP655412 NJF655412:NJL655412 NTB655412:NTH655412 OCX655412:ODD655412 OMT655412:OMZ655412 OWP655412:OWV655412 PGL655412:PGR655412 PQH655412:PQN655412 QAD655412:QAJ655412 QJZ655412:QKF655412 QTV655412:QUB655412 RDR655412:RDX655412 RNN655412:RNT655412 RXJ655412:RXP655412 SHF655412:SHL655412 SRB655412:SRH655412 TAX655412:TBD655412 TKT655412:TKZ655412 TUP655412:TUV655412 UEL655412:UER655412 UOH655412:UON655412 UYD655412:UYJ655412 VHZ655412:VIF655412 VRV655412:VSB655412 WBR655412:WBX655412 WLN655412:WLT655412 WVJ655412:WVP655412 B720948:H720948 IX720948:JD720948 ST720948:SZ720948 ACP720948:ACV720948 AML720948:AMR720948 AWH720948:AWN720948 BGD720948:BGJ720948 BPZ720948:BQF720948 BZV720948:CAB720948 CJR720948:CJX720948 CTN720948:CTT720948 DDJ720948:DDP720948 DNF720948:DNL720948 DXB720948:DXH720948 EGX720948:EHD720948 EQT720948:EQZ720948 FAP720948:FAV720948 FKL720948:FKR720948 FUH720948:FUN720948 GED720948:GEJ720948 GNZ720948:GOF720948 GXV720948:GYB720948 HHR720948:HHX720948 HRN720948:HRT720948 IBJ720948:IBP720948 ILF720948:ILL720948 IVB720948:IVH720948 JEX720948:JFD720948 JOT720948:JOZ720948 JYP720948:JYV720948 KIL720948:KIR720948 KSH720948:KSN720948 LCD720948:LCJ720948 LLZ720948:LMF720948 LVV720948:LWB720948 MFR720948:MFX720948 MPN720948:MPT720948 MZJ720948:MZP720948 NJF720948:NJL720948 NTB720948:NTH720948 OCX720948:ODD720948 OMT720948:OMZ720948 OWP720948:OWV720948 PGL720948:PGR720948 PQH720948:PQN720948 QAD720948:QAJ720948 QJZ720948:QKF720948 QTV720948:QUB720948 RDR720948:RDX720948 RNN720948:RNT720948 RXJ720948:RXP720948 SHF720948:SHL720948 SRB720948:SRH720948 TAX720948:TBD720948 TKT720948:TKZ720948 TUP720948:TUV720948 UEL720948:UER720948 UOH720948:UON720948 UYD720948:UYJ720948 VHZ720948:VIF720948 VRV720948:VSB720948 WBR720948:WBX720948 WLN720948:WLT720948 WVJ720948:WVP720948 B786484:H786484 IX786484:JD786484 ST786484:SZ786484 ACP786484:ACV786484 AML786484:AMR786484 AWH786484:AWN786484 BGD786484:BGJ786484 BPZ786484:BQF786484 BZV786484:CAB786484 CJR786484:CJX786484 CTN786484:CTT786484 DDJ786484:DDP786484 DNF786484:DNL786484 DXB786484:DXH786484 EGX786484:EHD786484 EQT786484:EQZ786484 FAP786484:FAV786484 FKL786484:FKR786484 FUH786484:FUN786484 GED786484:GEJ786484 GNZ786484:GOF786484 GXV786484:GYB786484 HHR786484:HHX786484 HRN786484:HRT786484 IBJ786484:IBP786484 ILF786484:ILL786484 IVB786484:IVH786484 JEX786484:JFD786484 JOT786484:JOZ786484 JYP786484:JYV786484 KIL786484:KIR786484 KSH786484:KSN786484 LCD786484:LCJ786484 LLZ786484:LMF786484 LVV786484:LWB786484 MFR786484:MFX786484 MPN786484:MPT786484 MZJ786484:MZP786484 NJF786484:NJL786484 NTB786484:NTH786484 OCX786484:ODD786484 OMT786484:OMZ786484 OWP786484:OWV786484 PGL786484:PGR786484 PQH786484:PQN786484 QAD786484:QAJ786484 QJZ786484:QKF786484 QTV786484:QUB786484 RDR786484:RDX786484 RNN786484:RNT786484 RXJ786484:RXP786484 SHF786484:SHL786484 SRB786484:SRH786484 TAX786484:TBD786484 TKT786484:TKZ786484 TUP786484:TUV786484 UEL786484:UER786484 UOH786484:UON786484 UYD786484:UYJ786484 VHZ786484:VIF786484 VRV786484:VSB786484 WBR786484:WBX786484 WLN786484:WLT786484 WVJ786484:WVP786484 B852020:H852020 IX852020:JD852020 ST852020:SZ852020 ACP852020:ACV852020 AML852020:AMR852020 AWH852020:AWN852020 BGD852020:BGJ852020 BPZ852020:BQF852020 BZV852020:CAB852020 CJR852020:CJX852020 CTN852020:CTT852020 DDJ852020:DDP852020 DNF852020:DNL852020 DXB852020:DXH852020 EGX852020:EHD852020 EQT852020:EQZ852020 FAP852020:FAV852020 FKL852020:FKR852020 FUH852020:FUN852020 GED852020:GEJ852020 GNZ852020:GOF852020 GXV852020:GYB852020 HHR852020:HHX852020 HRN852020:HRT852020 IBJ852020:IBP852020 ILF852020:ILL852020 IVB852020:IVH852020 JEX852020:JFD852020 JOT852020:JOZ852020 JYP852020:JYV852020 KIL852020:KIR852020 KSH852020:KSN852020 LCD852020:LCJ852020 LLZ852020:LMF852020 LVV852020:LWB852020 MFR852020:MFX852020 MPN852020:MPT852020 MZJ852020:MZP852020 NJF852020:NJL852020 NTB852020:NTH852020 OCX852020:ODD852020 OMT852020:OMZ852020 OWP852020:OWV852020 PGL852020:PGR852020 PQH852020:PQN852020 QAD852020:QAJ852020 QJZ852020:QKF852020 QTV852020:QUB852020 RDR852020:RDX852020 RNN852020:RNT852020 RXJ852020:RXP852020 SHF852020:SHL852020 SRB852020:SRH852020 TAX852020:TBD852020 TKT852020:TKZ852020 TUP852020:TUV852020 UEL852020:UER852020 UOH852020:UON852020 UYD852020:UYJ852020 VHZ852020:VIF852020 VRV852020:VSB852020 WBR852020:WBX852020 WLN852020:WLT852020 WVJ852020:WVP852020 B917556:H917556 IX917556:JD917556 ST917556:SZ917556 ACP917556:ACV917556 AML917556:AMR917556 AWH917556:AWN917556 BGD917556:BGJ917556 BPZ917556:BQF917556 BZV917556:CAB917556 CJR917556:CJX917556 CTN917556:CTT917556 DDJ917556:DDP917556 DNF917556:DNL917556 DXB917556:DXH917556 EGX917556:EHD917556 EQT917556:EQZ917556 FAP917556:FAV917556 FKL917556:FKR917556 FUH917556:FUN917556 GED917556:GEJ917556 GNZ917556:GOF917556 GXV917556:GYB917556 HHR917556:HHX917556 HRN917556:HRT917556 IBJ917556:IBP917556 ILF917556:ILL917556 IVB917556:IVH917556 JEX917556:JFD917556 JOT917556:JOZ917556 JYP917556:JYV917556 KIL917556:KIR917556 KSH917556:KSN917556 LCD917556:LCJ917556 LLZ917556:LMF917556 LVV917556:LWB917556 MFR917556:MFX917556 MPN917556:MPT917556 MZJ917556:MZP917556 NJF917556:NJL917556 NTB917556:NTH917556 OCX917556:ODD917556 OMT917556:OMZ917556 OWP917556:OWV917556 PGL917556:PGR917556 PQH917556:PQN917556 QAD917556:QAJ917556 QJZ917556:QKF917556 QTV917556:QUB917556 RDR917556:RDX917556 RNN917556:RNT917556 RXJ917556:RXP917556 SHF917556:SHL917556 SRB917556:SRH917556 TAX917556:TBD917556 TKT917556:TKZ917556 TUP917556:TUV917556 UEL917556:UER917556 UOH917556:UON917556 UYD917556:UYJ917556 VHZ917556:VIF917556 VRV917556:VSB917556 WBR917556:WBX917556 WLN917556:WLT917556 WVJ917556:WVP917556 B983092:H983092 IX983092:JD983092 ST983092:SZ983092 ACP983092:ACV983092 AML983092:AMR983092 AWH983092:AWN983092 BGD983092:BGJ983092 BPZ983092:BQF983092 BZV983092:CAB983092 CJR983092:CJX983092 CTN983092:CTT983092 DDJ983092:DDP983092 DNF983092:DNL983092 DXB983092:DXH983092 EGX983092:EHD983092 EQT983092:EQZ983092 FAP983092:FAV983092 FKL983092:FKR983092 FUH983092:FUN983092 GED983092:GEJ983092 GNZ983092:GOF983092 GXV983092:GYB983092 HHR983092:HHX983092 HRN983092:HRT983092 IBJ983092:IBP983092 ILF983092:ILL983092 IVB983092:IVH983092 JEX983092:JFD983092 JOT983092:JOZ983092 JYP983092:JYV983092 KIL983092:KIR983092 KSH983092:KSN983092 LCD983092:LCJ983092 LLZ983092:LMF983092 LVV983092:LWB983092 MFR983092:MFX983092 MPN983092:MPT983092 MZJ983092:MZP983092 NJF983092:NJL983092 NTB983092:NTH983092 OCX983092:ODD983092 OMT983092:OMZ983092 OWP983092:OWV983092 PGL983092:PGR983092 PQH983092:PQN983092 QAD983092:QAJ983092 QJZ983092:QKF983092 QTV983092:QUB983092 RDR983092:RDX983092 RNN983092:RNT983092 RXJ983092:RXP983092 SHF983092:SHL983092 SRB983092:SRH983092 TAX983092:TBD983092 TKT983092:TKZ983092 TUP983092:TUV983092 UEL983092:UER983092 UOH983092:UON983092 UYD983092:UYJ983092 VHZ983092:VIF983092 VRV983092:VSB983092 WBR983092:WBX983092 WLN983092:WLT983092 WVJ983092:WVP983092 B68:H68 IX68:JD68 ST68:SZ68 ACP68:ACV68 AML68:AMR68 AWH68:AWN68 BGD68:BGJ68 BPZ68:BQF68 BZV68:CAB68 CJR68:CJX68 CTN68:CTT68 DDJ68:DDP68 DNF68:DNL68 DXB68:DXH68 EGX68:EHD68 EQT68:EQZ68 FAP68:FAV68 FKL68:FKR68 FUH68:FUN68 GED68:GEJ68 GNZ68:GOF68 GXV68:GYB68 HHR68:HHX68 HRN68:HRT68 IBJ68:IBP68 ILF68:ILL68 IVB68:IVH68 JEX68:JFD68 JOT68:JOZ68 JYP68:JYV68 KIL68:KIR68 KSH68:KSN68 LCD68:LCJ68 LLZ68:LMF68 LVV68:LWB68 MFR68:MFX68 MPN68:MPT68 MZJ68:MZP68 NJF68:NJL68 NTB68:NTH68 OCX68:ODD68 OMT68:OMZ68 OWP68:OWV68 PGL68:PGR68 PQH68:PQN68 QAD68:QAJ68 QJZ68:QKF68 QTV68:QUB68 RDR68:RDX68 RNN68:RNT68 RXJ68:RXP68 SHF68:SHL68 SRB68:SRH68 TAX68:TBD68 TKT68:TKZ68 TUP68:TUV68 UEL68:UER68 UOH68:UON68 UYD68:UYJ68 VHZ68:VIF68 VRV68:VSB68 WBR68:WBX68 WLN68:WLT68 WVJ68:WVP68 B65604:H65604 IX65604:JD65604 ST65604:SZ65604 ACP65604:ACV65604 AML65604:AMR65604 AWH65604:AWN65604 BGD65604:BGJ65604 BPZ65604:BQF65604 BZV65604:CAB65604 CJR65604:CJX65604 CTN65604:CTT65604 DDJ65604:DDP65604 DNF65604:DNL65604 DXB65604:DXH65604 EGX65604:EHD65604 EQT65604:EQZ65604 FAP65604:FAV65604 FKL65604:FKR65604 FUH65604:FUN65604 GED65604:GEJ65604 GNZ65604:GOF65604 GXV65604:GYB65604 HHR65604:HHX65604 HRN65604:HRT65604 IBJ65604:IBP65604 ILF65604:ILL65604 IVB65604:IVH65604 JEX65604:JFD65604 JOT65604:JOZ65604 JYP65604:JYV65604 KIL65604:KIR65604 KSH65604:KSN65604 LCD65604:LCJ65604 LLZ65604:LMF65604 LVV65604:LWB65604 MFR65604:MFX65604 MPN65604:MPT65604 MZJ65604:MZP65604 NJF65604:NJL65604 NTB65604:NTH65604 OCX65604:ODD65604 OMT65604:OMZ65604 OWP65604:OWV65604 PGL65604:PGR65604 PQH65604:PQN65604 QAD65604:QAJ65604 QJZ65604:QKF65604 QTV65604:QUB65604 RDR65604:RDX65604 RNN65604:RNT65604 RXJ65604:RXP65604 SHF65604:SHL65604 SRB65604:SRH65604 TAX65604:TBD65604 TKT65604:TKZ65604 TUP65604:TUV65604 UEL65604:UER65604 UOH65604:UON65604 UYD65604:UYJ65604 VHZ65604:VIF65604 VRV65604:VSB65604 WBR65604:WBX65604 WLN65604:WLT65604 WVJ65604:WVP65604 B131140:H131140 IX131140:JD131140 ST131140:SZ131140 ACP131140:ACV131140 AML131140:AMR131140 AWH131140:AWN131140 BGD131140:BGJ131140 BPZ131140:BQF131140 BZV131140:CAB131140 CJR131140:CJX131140 CTN131140:CTT131140 DDJ131140:DDP131140 DNF131140:DNL131140 DXB131140:DXH131140 EGX131140:EHD131140 EQT131140:EQZ131140 FAP131140:FAV131140 FKL131140:FKR131140 FUH131140:FUN131140 GED131140:GEJ131140 GNZ131140:GOF131140 GXV131140:GYB131140 HHR131140:HHX131140 HRN131140:HRT131140 IBJ131140:IBP131140 ILF131140:ILL131140 IVB131140:IVH131140 JEX131140:JFD131140 JOT131140:JOZ131140 JYP131140:JYV131140 KIL131140:KIR131140 KSH131140:KSN131140 LCD131140:LCJ131140 LLZ131140:LMF131140 LVV131140:LWB131140 MFR131140:MFX131140 MPN131140:MPT131140 MZJ131140:MZP131140 NJF131140:NJL131140 NTB131140:NTH131140 OCX131140:ODD131140 OMT131140:OMZ131140 OWP131140:OWV131140 PGL131140:PGR131140 PQH131140:PQN131140 QAD131140:QAJ131140 QJZ131140:QKF131140 QTV131140:QUB131140 RDR131140:RDX131140 RNN131140:RNT131140 RXJ131140:RXP131140 SHF131140:SHL131140 SRB131140:SRH131140 TAX131140:TBD131140 TKT131140:TKZ131140 TUP131140:TUV131140 UEL131140:UER131140 UOH131140:UON131140 UYD131140:UYJ131140 VHZ131140:VIF131140 VRV131140:VSB131140 WBR131140:WBX131140 WLN131140:WLT131140 WVJ131140:WVP131140 B196676:H196676 IX196676:JD196676 ST196676:SZ196676 ACP196676:ACV196676 AML196676:AMR196676 AWH196676:AWN196676 BGD196676:BGJ196676 BPZ196676:BQF196676 BZV196676:CAB196676 CJR196676:CJX196676 CTN196676:CTT196676 DDJ196676:DDP196676 DNF196676:DNL196676 DXB196676:DXH196676 EGX196676:EHD196676 EQT196676:EQZ196676 FAP196676:FAV196676 FKL196676:FKR196676 FUH196676:FUN196676 GED196676:GEJ196676 GNZ196676:GOF196676 GXV196676:GYB196676 HHR196676:HHX196676 HRN196676:HRT196676 IBJ196676:IBP196676 ILF196676:ILL196676 IVB196676:IVH196676 JEX196676:JFD196676 JOT196676:JOZ196676 JYP196676:JYV196676 KIL196676:KIR196676 KSH196676:KSN196676 LCD196676:LCJ196676 LLZ196676:LMF196676 LVV196676:LWB196676 MFR196676:MFX196676 MPN196676:MPT196676 MZJ196676:MZP196676 NJF196676:NJL196676 NTB196676:NTH196676 OCX196676:ODD196676 OMT196676:OMZ196676 OWP196676:OWV196676 PGL196676:PGR196676 PQH196676:PQN196676 QAD196676:QAJ196676 QJZ196676:QKF196676 QTV196676:QUB196676 RDR196676:RDX196676 RNN196676:RNT196676 RXJ196676:RXP196676 SHF196676:SHL196676 SRB196676:SRH196676 TAX196676:TBD196676 TKT196676:TKZ196676 TUP196676:TUV196676 UEL196676:UER196676 UOH196676:UON196676 UYD196676:UYJ196676 VHZ196676:VIF196676 VRV196676:VSB196676 WBR196676:WBX196676 WLN196676:WLT196676 WVJ196676:WVP196676 B262212:H262212 IX262212:JD262212 ST262212:SZ262212 ACP262212:ACV262212 AML262212:AMR262212 AWH262212:AWN262212 BGD262212:BGJ262212 BPZ262212:BQF262212 BZV262212:CAB262212 CJR262212:CJX262212 CTN262212:CTT262212 DDJ262212:DDP262212 DNF262212:DNL262212 DXB262212:DXH262212 EGX262212:EHD262212 EQT262212:EQZ262212 FAP262212:FAV262212 FKL262212:FKR262212 FUH262212:FUN262212 GED262212:GEJ262212 GNZ262212:GOF262212 GXV262212:GYB262212 HHR262212:HHX262212 HRN262212:HRT262212 IBJ262212:IBP262212 ILF262212:ILL262212 IVB262212:IVH262212 JEX262212:JFD262212 JOT262212:JOZ262212 JYP262212:JYV262212 KIL262212:KIR262212 KSH262212:KSN262212 LCD262212:LCJ262212 LLZ262212:LMF262212 LVV262212:LWB262212 MFR262212:MFX262212 MPN262212:MPT262212 MZJ262212:MZP262212 NJF262212:NJL262212 NTB262212:NTH262212 OCX262212:ODD262212 OMT262212:OMZ262212 OWP262212:OWV262212 PGL262212:PGR262212 PQH262212:PQN262212 QAD262212:QAJ262212 QJZ262212:QKF262212 QTV262212:QUB262212 RDR262212:RDX262212 RNN262212:RNT262212 RXJ262212:RXP262212 SHF262212:SHL262212 SRB262212:SRH262212 TAX262212:TBD262212 TKT262212:TKZ262212 TUP262212:TUV262212 UEL262212:UER262212 UOH262212:UON262212 UYD262212:UYJ262212 VHZ262212:VIF262212 VRV262212:VSB262212 WBR262212:WBX262212 WLN262212:WLT262212 WVJ262212:WVP262212 B327748:H327748 IX327748:JD327748 ST327748:SZ327748 ACP327748:ACV327748 AML327748:AMR327748 AWH327748:AWN327748 BGD327748:BGJ327748 BPZ327748:BQF327748 BZV327748:CAB327748 CJR327748:CJX327748 CTN327748:CTT327748 DDJ327748:DDP327748 DNF327748:DNL327748 DXB327748:DXH327748 EGX327748:EHD327748 EQT327748:EQZ327748 FAP327748:FAV327748 FKL327748:FKR327748 FUH327748:FUN327748 GED327748:GEJ327748 GNZ327748:GOF327748 GXV327748:GYB327748 HHR327748:HHX327748 HRN327748:HRT327748 IBJ327748:IBP327748 ILF327748:ILL327748 IVB327748:IVH327748 JEX327748:JFD327748 JOT327748:JOZ327748 JYP327748:JYV327748 KIL327748:KIR327748 KSH327748:KSN327748 LCD327748:LCJ327748 LLZ327748:LMF327748 LVV327748:LWB327748 MFR327748:MFX327748 MPN327748:MPT327748 MZJ327748:MZP327748 NJF327748:NJL327748 NTB327748:NTH327748 OCX327748:ODD327748 OMT327748:OMZ327748 OWP327748:OWV327748 PGL327748:PGR327748 PQH327748:PQN327748 QAD327748:QAJ327748 QJZ327748:QKF327748 QTV327748:QUB327748 RDR327748:RDX327748 RNN327748:RNT327748 RXJ327748:RXP327748 SHF327748:SHL327748 SRB327748:SRH327748 TAX327748:TBD327748 TKT327748:TKZ327748 TUP327748:TUV327748 UEL327748:UER327748 UOH327748:UON327748 UYD327748:UYJ327748 VHZ327748:VIF327748 VRV327748:VSB327748 WBR327748:WBX327748 WLN327748:WLT327748 WVJ327748:WVP327748 B393284:H393284 IX393284:JD393284 ST393284:SZ393284 ACP393284:ACV393284 AML393284:AMR393284 AWH393284:AWN393284 BGD393284:BGJ393284 BPZ393284:BQF393284 BZV393284:CAB393284 CJR393284:CJX393284 CTN393284:CTT393284 DDJ393284:DDP393284 DNF393284:DNL393284 DXB393284:DXH393284 EGX393284:EHD393284 EQT393284:EQZ393284 FAP393284:FAV393284 FKL393284:FKR393284 FUH393284:FUN393284 GED393284:GEJ393284 GNZ393284:GOF393284 GXV393284:GYB393284 HHR393284:HHX393284 HRN393284:HRT393284 IBJ393284:IBP393284 ILF393284:ILL393284 IVB393284:IVH393284 JEX393284:JFD393284 JOT393284:JOZ393284 JYP393284:JYV393284 KIL393284:KIR393284 KSH393284:KSN393284 LCD393284:LCJ393284 LLZ393284:LMF393284 LVV393284:LWB393284 MFR393284:MFX393284 MPN393284:MPT393284 MZJ393284:MZP393284 NJF393284:NJL393284 NTB393284:NTH393284 OCX393284:ODD393284 OMT393284:OMZ393284 OWP393284:OWV393284 PGL393284:PGR393284 PQH393284:PQN393284 QAD393284:QAJ393284 QJZ393284:QKF393284 QTV393284:QUB393284 RDR393284:RDX393284 RNN393284:RNT393284 RXJ393284:RXP393284 SHF393284:SHL393284 SRB393284:SRH393284 TAX393284:TBD393284 TKT393284:TKZ393284 TUP393284:TUV393284 UEL393284:UER393284 UOH393284:UON393284 UYD393284:UYJ393284 VHZ393284:VIF393284 VRV393284:VSB393284 WBR393284:WBX393284 WLN393284:WLT393284 WVJ393284:WVP393284 B458820:H458820 IX458820:JD458820 ST458820:SZ458820 ACP458820:ACV458820 AML458820:AMR458820 AWH458820:AWN458820 BGD458820:BGJ458820 BPZ458820:BQF458820 BZV458820:CAB458820 CJR458820:CJX458820 CTN458820:CTT458820 DDJ458820:DDP458820 DNF458820:DNL458820 DXB458820:DXH458820 EGX458820:EHD458820 EQT458820:EQZ458820 FAP458820:FAV458820 FKL458820:FKR458820 FUH458820:FUN458820 GED458820:GEJ458820 GNZ458820:GOF458820 GXV458820:GYB458820 HHR458820:HHX458820 HRN458820:HRT458820 IBJ458820:IBP458820 ILF458820:ILL458820 IVB458820:IVH458820 JEX458820:JFD458820 JOT458820:JOZ458820 JYP458820:JYV458820 KIL458820:KIR458820 KSH458820:KSN458820 LCD458820:LCJ458820 LLZ458820:LMF458820 LVV458820:LWB458820 MFR458820:MFX458820 MPN458820:MPT458820 MZJ458820:MZP458820 NJF458820:NJL458820 NTB458820:NTH458820 OCX458820:ODD458820 OMT458820:OMZ458820 OWP458820:OWV458820 PGL458820:PGR458820 PQH458820:PQN458820 QAD458820:QAJ458820 QJZ458820:QKF458820 QTV458820:QUB458820 RDR458820:RDX458820 RNN458820:RNT458820 RXJ458820:RXP458820 SHF458820:SHL458820 SRB458820:SRH458820 TAX458820:TBD458820 TKT458820:TKZ458820 TUP458820:TUV458820 UEL458820:UER458820 UOH458820:UON458820 UYD458820:UYJ458820 VHZ458820:VIF458820 VRV458820:VSB458820 WBR458820:WBX458820 WLN458820:WLT458820 WVJ458820:WVP458820 B524356:H524356 IX524356:JD524356 ST524356:SZ524356 ACP524356:ACV524356 AML524356:AMR524356 AWH524356:AWN524356 BGD524356:BGJ524356 BPZ524356:BQF524356 BZV524356:CAB524356 CJR524356:CJX524356 CTN524356:CTT524356 DDJ524356:DDP524356 DNF524356:DNL524356 DXB524356:DXH524356 EGX524356:EHD524356 EQT524356:EQZ524356 FAP524356:FAV524356 FKL524356:FKR524356 FUH524356:FUN524356 GED524356:GEJ524356 GNZ524356:GOF524356 GXV524356:GYB524356 HHR524356:HHX524356 HRN524356:HRT524356 IBJ524356:IBP524356 ILF524356:ILL524356 IVB524356:IVH524356 JEX524356:JFD524356 JOT524356:JOZ524356 JYP524356:JYV524356 KIL524356:KIR524356 KSH524356:KSN524356 LCD524356:LCJ524356 LLZ524356:LMF524356 LVV524356:LWB524356 MFR524356:MFX524356 MPN524356:MPT524356 MZJ524356:MZP524356 NJF524356:NJL524356 NTB524356:NTH524356 OCX524356:ODD524356 OMT524356:OMZ524356 OWP524356:OWV524356 PGL524356:PGR524356 PQH524356:PQN524356 QAD524356:QAJ524356 QJZ524356:QKF524356 QTV524356:QUB524356 RDR524356:RDX524356 RNN524356:RNT524356 RXJ524356:RXP524356 SHF524356:SHL524356 SRB524356:SRH524356 TAX524356:TBD524356 TKT524356:TKZ524356 TUP524356:TUV524356 UEL524356:UER524356 UOH524356:UON524356 UYD524356:UYJ524356 VHZ524356:VIF524356 VRV524356:VSB524356 WBR524356:WBX524356 WLN524356:WLT524356 WVJ524356:WVP524356 B589892:H589892 IX589892:JD589892 ST589892:SZ589892 ACP589892:ACV589892 AML589892:AMR589892 AWH589892:AWN589892 BGD589892:BGJ589892 BPZ589892:BQF589892 BZV589892:CAB589892 CJR589892:CJX589892 CTN589892:CTT589892 DDJ589892:DDP589892 DNF589892:DNL589892 DXB589892:DXH589892 EGX589892:EHD589892 EQT589892:EQZ589892 FAP589892:FAV589892 FKL589892:FKR589892 FUH589892:FUN589892 GED589892:GEJ589892 GNZ589892:GOF589892 GXV589892:GYB589892 HHR589892:HHX589892 HRN589892:HRT589892 IBJ589892:IBP589892 ILF589892:ILL589892 IVB589892:IVH589892 JEX589892:JFD589892 JOT589892:JOZ589892 JYP589892:JYV589892 KIL589892:KIR589892 KSH589892:KSN589892 LCD589892:LCJ589892 LLZ589892:LMF589892 LVV589892:LWB589892 MFR589892:MFX589892 MPN589892:MPT589892 MZJ589892:MZP589892 NJF589892:NJL589892 NTB589892:NTH589892 OCX589892:ODD589892 OMT589892:OMZ589892 OWP589892:OWV589892 PGL589892:PGR589892 PQH589892:PQN589892 QAD589892:QAJ589892 QJZ589892:QKF589892 QTV589892:QUB589892 RDR589892:RDX589892 RNN589892:RNT589892 RXJ589892:RXP589892 SHF589892:SHL589892 SRB589892:SRH589892 TAX589892:TBD589892 TKT589892:TKZ589892 TUP589892:TUV589892 UEL589892:UER589892 UOH589892:UON589892 UYD589892:UYJ589892 VHZ589892:VIF589892 VRV589892:VSB589892 WBR589892:WBX589892 WLN589892:WLT589892 WVJ589892:WVP589892 B655428:H655428 IX655428:JD655428 ST655428:SZ655428 ACP655428:ACV655428 AML655428:AMR655428 AWH655428:AWN655428 BGD655428:BGJ655428 BPZ655428:BQF655428 BZV655428:CAB655428 CJR655428:CJX655428 CTN655428:CTT655428 DDJ655428:DDP655428 DNF655428:DNL655428 DXB655428:DXH655428 EGX655428:EHD655428 EQT655428:EQZ655428 FAP655428:FAV655428 FKL655428:FKR655428 FUH655428:FUN655428 GED655428:GEJ655428 GNZ655428:GOF655428 GXV655428:GYB655428 HHR655428:HHX655428 HRN655428:HRT655428 IBJ655428:IBP655428 ILF655428:ILL655428 IVB655428:IVH655428 JEX655428:JFD655428 JOT655428:JOZ655428 JYP655428:JYV655428 KIL655428:KIR655428 KSH655428:KSN655428 LCD655428:LCJ655428 LLZ655428:LMF655428 LVV655428:LWB655428 MFR655428:MFX655428 MPN655428:MPT655428 MZJ655428:MZP655428 NJF655428:NJL655428 NTB655428:NTH655428 OCX655428:ODD655428 OMT655428:OMZ655428 OWP655428:OWV655428 PGL655428:PGR655428 PQH655428:PQN655428 QAD655428:QAJ655428 QJZ655428:QKF655428 QTV655428:QUB655428 RDR655428:RDX655428 RNN655428:RNT655428 RXJ655428:RXP655428 SHF655428:SHL655428 SRB655428:SRH655428 TAX655428:TBD655428 TKT655428:TKZ655428 TUP655428:TUV655428 UEL655428:UER655428 UOH655428:UON655428 UYD655428:UYJ655428 VHZ655428:VIF655428 VRV655428:VSB655428 WBR655428:WBX655428 WLN655428:WLT655428 WVJ655428:WVP655428 B720964:H720964 IX720964:JD720964 ST720964:SZ720964 ACP720964:ACV720964 AML720964:AMR720964 AWH720964:AWN720964 BGD720964:BGJ720964 BPZ720964:BQF720964 BZV720964:CAB720964 CJR720964:CJX720964 CTN720964:CTT720964 DDJ720964:DDP720964 DNF720964:DNL720964 DXB720964:DXH720964 EGX720964:EHD720964 EQT720964:EQZ720964 FAP720964:FAV720964 FKL720964:FKR720964 FUH720964:FUN720964 GED720964:GEJ720964 GNZ720964:GOF720964 GXV720964:GYB720964 HHR720964:HHX720964 HRN720964:HRT720964 IBJ720964:IBP720964 ILF720964:ILL720964 IVB720964:IVH720964 JEX720964:JFD720964 JOT720964:JOZ720964 JYP720964:JYV720964 KIL720964:KIR720964 KSH720964:KSN720964 LCD720964:LCJ720964 LLZ720964:LMF720964 LVV720964:LWB720964 MFR720964:MFX720964 MPN720964:MPT720964 MZJ720964:MZP720964 NJF720964:NJL720964 NTB720964:NTH720964 OCX720964:ODD720964 OMT720964:OMZ720964 OWP720964:OWV720964 PGL720964:PGR720964 PQH720964:PQN720964 QAD720964:QAJ720964 QJZ720964:QKF720964 QTV720964:QUB720964 RDR720964:RDX720964 RNN720964:RNT720964 RXJ720964:RXP720964 SHF720964:SHL720964 SRB720964:SRH720964 TAX720964:TBD720964 TKT720964:TKZ720964 TUP720964:TUV720964 UEL720964:UER720964 UOH720964:UON720964 UYD720964:UYJ720964 VHZ720964:VIF720964 VRV720964:VSB720964 WBR720964:WBX720964 WLN720964:WLT720964 WVJ720964:WVP720964 B786500:H786500 IX786500:JD786500 ST786500:SZ786500 ACP786500:ACV786500 AML786500:AMR786500 AWH786500:AWN786500 BGD786500:BGJ786500 BPZ786500:BQF786500 BZV786500:CAB786500 CJR786500:CJX786500 CTN786500:CTT786500 DDJ786500:DDP786500 DNF786500:DNL786500 DXB786500:DXH786500 EGX786500:EHD786500 EQT786500:EQZ786500 FAP786500:FAV786500 FKL786500:FKR786500 FUH786500:FUN786500 GED786500:GEJ786500 GNZ786500:GOF786500 GXV786500:GYB786500 HHR786500:HHX786500 HRN786500:HRT786500 IBJ786500:IBP786500 ILF786500:ILL786500 IVB786500:IVH786500 JEX786500:JFD786500 JOT786500:JOZ786500 JYP786500:JYV786500 KIL786500:KIR786500 KSH786500:KSN786500 LCD786500:LCJ786500 LLZ786500:LMF786500 LVV786500:LWB786500 MFR786500:MFX786500 MPN786500:MPT786500 MZJ786500:MZP786500 NJF786500:NJL786500 NTB786500:NTH786500 OCX786500:ODD786500 OMT786500:OMZ786500 OWP786500:OWV786500 PGL786500:PGR786500 PQH786500:PQN786500 QAD786500:QAJ786500 QJZ786500:QKF786500 QTV786500:QUB786500 RDR786500:RDX786500 RNN786500:RNT786500 RXJ786500:RXP786500 SHF786500:SHL786500 SRB786500:SRH786500 TAX786500:TBD786500 TKT786500:TKZ786500 TUP786500:TUV786500 UEL786500:UER786500 UOH786500:UON786500 UYD786500:UYJ786500 VHZ786500:VIF786500 VRV786500:VSB786500 WBR786500:WBX786500 WLN786500:WLT786500 WVJ786500:WVP786500 B852036:H852036 IX852036:JD852036 ST852036:SZ852036 ACP852036:ACV852036 AML852036:AMR852036 AWH852036:AWN852036 BGD852036:BGJ852036 BPZ852036:BQF852036 BZV852036:CAB852036 CJR852036:CJX852036 CTN852036:CTT852036 DDJ852036:DDP852036 DNF852036:DNL852036 DXB852036:DXH852036 EGX852036:EHD852036 EQT852036:EQZ852036 FAP852036:FAV852036 FKL852036:FKR852036 FUH852036:FUN852036 GED852036:GEJ852036 GNZ852036:GOF852036 GXV852036:GYB852036 HHR852036:HHX852036 HRN852036:HRT852036 IBJ852036:IBP852036 ILF852036:ILL852036 IVB852036:IVH852036 JEX852036:JFD852036 JOT852036:JOZ852036 JYP852036:JYV852036 KIL852036:KIR852036 KSH852036:KSN852036 LCD852036:LCJ852036 LLZ852036:LMF852036 LVV852036:LWB852036 MFR852036:MFX852036 MPN852036:MPT852036 MZJ852036:MZP852036 NJF852036:NJL852036 NTB852036:NTH852036 OCX852036:ODD852036 OMT852036:OMZ852036 OWP852036:OWV852036 PGL852036:PGR852036 PQH852036:PQN852036 QAD852036:QAJ852036 QJZ852036:QKF852036 QTV852036:QUB852036 RDR852036:RDX852036 RNN852036:RNT852036 RXJ852036:RXP852036 SHF852036:SHL852036 SRB852036:SRH852036 TAX852036:TBD852036 TKT852036:TKZ852036 TUP852036:TUV852036 UEL852036:UER852036 UOH852036:UON852036 UYD852036:UYJ852036 VHZ852036:VIF852036 VRV852036:VSB852036 WBR852036:WBX852036 WLN852036:WLT852036 WVJ852036:WVP852036 B917572:H917572 IX917572:JD917572 ST917572:SZ917572 ACP917572:ACV917572 AML917572:AMR917572 AWH917572:AWN917572 BGD917572:BGJ917572 BPZ917572:BQF917572 BZV917572:CAB917572 CJR917572:CJX917572 CTN917572:CTT917572 DDJ917572:DDP917572 DNF917572:DNL917572 DXB917572:DXH917572 EGX917572:EHD917572 EQT917572:EQZ917572 FAP917572:FAV917572 FKL917572:FKR917572 FUH917572:FUN917572 GED917572:GEJ917572 GNZ917572:GOF917572 GXV917572:GYB917572 HHR917572:HHX917572 HRN917572:HRT917572 IBJ917572:IBP917572 ILF917572:ILL917572 IVB917572:IVH917572 JEX917572:JFD917572 JOT917572:JOZ917572 JYP917572:JYV917572 KIL917572:KIR917572 KSH917572:KSN917572 LCD917572:LCJ917572 LLZ917572:LMF917572 LVV917572:LWB917572 MFR917572:MFX917572 MPN917572:MPT917572 MZJ917572:MZP917572 NJF917572:NJL917572 NTB917572:NTH917572 OCX917572:ODD917572 OMT917572:OMZ917572 OWP917572:OWV917572 PGL917572:PGR917572 PQH917572:PQN917572 QAD917572:QAJ917572 QJZ917572:QKF917572 QTV917572:QUB917572 RDR917572:RDX917572 RNN917572:RNT917572 RXJ917572:RXP917572 SHF917572:SHL917572 SRB917572:SRH917572 TAX917572:TBD917572 TKT917572:TKZ917572 TUP917572:TUV917572 UEL917572:UER917572 UOH917572:UON917572 UYD917572:UYJ917572 VHZ917572:VIF917572 VRV917572:VSB917572 WBR917572:WBX917572 WLN917572:WLT917572 WVJ917572:WVP917572 B983108:H983108 IX983108:JD983108 ST983108:SZ983108 ACP983108:ACV983108 AML983108:AMR983108 AWH983108:AWN983108 BGD983108:BGJ983108 BPZ983108:BQF983108 BZV983108:CAB983108 CJR983108:CJX983108 CTN983108:CTT983108 DDJ983108:DDP983108 DNF983108:DNL983108 DXB983108:DXH983108 EGX983108:EHD983108 EQT983108:EQZ983108 FAP983108:FAV983108 FKL983108:FKR983108 FUH983108:FUN983108 GED983108:GEJ983108 GNZ983108:GOF983108 GXV983108:GYB983108 HHR983108:HHX983108 HRN983108:HRT983108 IBJ983108:IBP983108 ILF983108:ILL983108 IVB983108:IVH983108 JEX983108:JFD983108 JOT983108:JOZ983108 JYP983108:JYV983108 KIL983108:KIR983108 KSH983108:KSN983108 LCD983108:LCJ983108 LLZ983108:LMF983108 LVV983108:LWB983108 MFR983108:MFX983108 MPN983108:MPT983108 MZJ983108:MZP983108 NJF983108:NJL983108 NTB983108:NTH983108 OCX983108:ODD983108 OMT983108:OMZ983108 OWP983108:OWV983108 PGL983108:PGR983108 PQH983108:PQN983108 QAD983108:QAJ983108 QJZ983108:QKF983108 QTV983108:QUB983108 RDR983108:RDX983108 RNN983108:RNT983108 RXJ983108:RXP983108 SHF983108:SHL983108 SRB983108:SRH983108 TAX983108:TBD983108 TKT983108:TKZ983108 TUP983108:TUV983108 UEL983108:UER983108 UOH983108:UON983108 UYD983108:UYJ983108 VHZ983108:VIF983108 VRV983108:VSB983108 WBR983108:WBX983108 WLN983108:WLT983108 WVJ983108:WVP983108 B84:H84 IX84:JD84 ST84:SZ84 ACP84:ACV84 AML84:AMR84 AWH84:AWN84 BGD84:BGJ84 BPZ84:BQF84 BZV84:CAB84 CJR84:CJX84 CTN84:CTT84 DDJ84:DDP84 DNF84:DNL84 DXB84:DXH84 EGX84:EHD84 EQT84:EQZ84 FAP84:FAV84 FKL84:FKR84 FUH84:FUN84 GED84:GEJ84 GNZ84:GOF84 GXV84:GYB84 HHR84:HHX84 HRN84:HRT84 IBJ84:IBP84 ILF84:ILL84 IVB84:IVH84 JEX84:JFD84 JOT84:JOZ84 JYP84:JYV84 KIL84:KIR84 KSH84:KSN84 LCD84:LCJ84 LLZ84:LMF84 LVV84:LWB84 MFR84:MFX84 MPN84:MPT84 MZJ84:MZP84 NJF84:NJL84 NTB84:NTH84 OCX84:ODD84 OMT84:OMZ84 OWP84:OWV84 PGL84:PGR84 PQH84:PQN84 QAD84:QAJ84 QJZ84:QKF84 QTV84:QUB84 RDR84:RDX84 RNN84:RNT84 RXJ84:RXP84 SHF84:SHL84 SRB84:SRH84 TAX84:TBD84 TKT84:TKZ84 TUP84:TUV84 UEL84:UER84 UOH84:UON84 UYD84:UYJ84 VHZ84:VIF84 VRV84:VSB84 WBR84:WBX84 WLN84:WLT84 WVJ84:WVP84 B65620:H65620 IX65620:JD65620 ST65620:SZ65620 ACP65620:ACV65620 AML65620:AMR65620 AWH65620:AWN65620 BGD65620:BGJ65620 BPZ65620:BQF65620 BZV65620:CAB65620 CJR65620:CJX65620 CTN65620:CTT65620 DDJ65620:DDP65620 DNF65620:DNL65620 DXB65620:DXH65620 EGX65620:EHD65620 EQT65620:EQZ65620 FAP65620:FAV65620 FKL65620:FKR65620 FUH65620:FUN65620 GED65620:GEJ65620 GNZ65620:GOF65620 GXV65620:GYB65620 HHR65620:HHX65620 HRN65620:HRT65620 IBJ65620:IBP65620 ILF65620:ILL65620 IVB65620:IVH65620 JEX65620:JFD65620 JOT65620:JOZ65620 JYP65620:JYV65620 KIL65620:KIR65620 KSH65620:KSN65620 LCD65620:LCJ65620 LLZ65620:LMF65620 LVV65620:LWB65620 MFR65620:MFX65620 MPN65620:MPT65620 MZJ65620:MZP65620 NJF65620:NJL65620 NTB65620:NTH65620 OCX65620:ODD65620 OMT65620:OMZ65620 OWP65620:OWV65620 PGL65620:PGR65620 PQH65620:PQN65620 QAD65620:QAJ65620 QJZ65620:QKF65620 QTV65620:QUB65620 RDR65620:RDX65620 RNN65620:RNT65620 RXJ65620:RXP65620 SHF65620:SHL65620 SRB65620:SRH65620 TAX65620:TBD65620 TKT65620:TKZ65620 TUP65620:TUV65620 UEL65620:UER65620 UOH65620:UON65620 UYD65620:UYJ65620 VHZ65620:VIF65620 VRV65620:VSB65620 WBR65620:WBX65620 WLN65620:WLT65620 WVJ65620:WVP65620 B131156:H131156 IX131156:JD131156 ST131156:SZ131156 ACP131156:ACV131156 AML131156:AMR131156 AWH131156:AWN131156 BGD131156:BGJ131156 BPZ131156:BQF131156 BZV131156:CAB131156 CJR131156:CJX131156 CTN131156:CTT131156 DDJ131156:DDP131156 DNF131156:DNL131156 DXB131156:DXH131156 EGX131156:EHD131156 EQT131156:EQZ131156 FAP131156:FAV131156 FKL131156:FKR131156 FUH131156:FUN131156 GED131156:GEJ131156 GNZ131156:GOF131156 GXV131156:GYB131156 HHR131156:HHX131156 HRN131156:HRT131156 IBJ131156:IBP131156 ILF131156:ILL131156 IVB131156:IVH131156 JEX131156:JFD131156 JOT131156:JOZ131156 JYP131156:JYV131156 KIL131156:KIR131156 KSH131156:KSN131156 LCD131156:LCJ131156 LLZ131156:LMF131156 LVV131156:LWB131156 MFR131156:MFX131156 MPN131156:MPT131156 MZJ131156:MZP131156 NJF131156:NJL131156 NTB131156:NTH131156 OCX131156:ODD131156 OMT131156:OMZ131156 OWP131156:OWV131156 PGL131156:PGR131156 PQH131156:PQN131156 QAD131156:QAJ131156 QJZ131156:QKF131156 QTV131156:QUB131156 RDR131156:RDX131156 RNN131156:RNT131156 RXJ131156:RXP131156 SHF131156:SHL131156 SRB131156:SRH131156 TAX131156:TBD131156 TKT131156:TKZ131156 TUP131156:TUV131156 UEL131156:UER131156 UOH131156:UON131156 UYD131156:UYJ131156 VHZ131156:VIF131156 VRV131156:VSB131156 WBR131156:WBX131156 WLN131156:WLT131156 WVJ131156:WVP131156 B196692:H196692 IX196692:JD196692 ST196692:SZ196692 ACP196692:ACV196692 AML196692:AMR196692 AWH196692:AWN196692 BGD196692:BGJ196692 BPZ196692:BQF196692 BZV196692:CAB196692 CJR196692:CJX196692 CTN196692:CTT196692 DDJ196692:DDP196692 DNF196692:DNL196692 DXB196692:DXH196692 EGX196692:EHD196692 EQT196692:EQZ196692 FAP196692:FAV196692 FKL196692:FKR196692 FUH196692:FUN196692 GED196692:GEJ196692 GNZ196692:GOF196692 GXV196692:GYB196692 HHR196692:HHX196692 HRN196692:HRT196692 IBJ196692:IBP196692 ILF196692:ILL196692 IVB196692:IVH196692 JEX196692:JFD196692 JOT196692:JOZ196692 JYP196692:JYV196692 KIL196692:KIR196692 KSH196692:KSN196692 LCD196692:LCJ196692 LLZ196692:LMF196692 LVV196692:LWB196692 MFR196692:MFX196692 MPN196692:MPT196692 MZJ196692:MZP196692 NJF196692:NJL196692 NTB196692:NTH196692 OCX196692:ODD196692 OMT196692:OMZ196692 OWP196692:OWV196692 PGL196692:PGR196692 PQH196692:PQN196692 QAD196692:QAJ196692 QJZ196692:QKF196692 QTV196692:QUB196692 RDR196692:RDX196692 RNN196692:RNT196692 RXJ196692:RXP196692 SHF196692:SHL196692 SRB196692:SRH196692 TAX196692:TBD196692 TKT196692:TKZ196692 TUP196692:TUV196692 UEL196692:UER196692 UOH196692:UON196692 UYD196692:UYJ196692 VHZ196692:VIF196692 VRV196692:VSB196692 WBR196692:WBX196692 WLN196692:WLT196692 WVJ196692:WVP196692 B262228:H262228 IX262228:JD262228 ST262228:SZ262228 ACP262228:ACV262228 AML262228:AMR262228 AWH262228:AWN262228 BGD262228:BGJ262228 BPZ262228:BQF262228 BZV262228:CAB262228 CJR262228:CJX262228 CTN262228:CTT262228 DDJ262228:DDP262228 DNF262228:DNL262228 DXB262228:DXH262228 EGX262228:EHD262228 EQT262228:EQZ262228 FAP262228:FAV262228 FKL262228:FKR262228 FUH262228:FUN262228 GED262228:GEJ262228 GNZ262228:GOF262228 GXV262228:GYB262228 HHR262228:HHX262228 HRN262228:HRT262228 IBJ262228:IBP262228 ILF262228:ILL262228 IVB262228:IVH262228 JEX262228:JFD262228 JOT262228:JOZ262228 JYP262228:JYV262228 KIL262228:KIR262228 KSH262228:KSN262228 LCD262228:LCJ262228 LLZ262228:LMF262228 LVV262228:LWB262228 MFR262228:MFX262228 MPN262228:MPT262228 MZJ262228:MZP262228 NJF262228:NJL262228 NTB262228:NTH262228 OCX262228:ODD262228 OMT262228:OMZ262228 OWP262228:OWV262228 PGL262228:PGR262228 PQH262228:PQN262228 QAD262228:QAJ262228 QJZ262228:QKF262228 QTV262228:QUB262228 RDR262228:RDX262228 RNN262228:RNT262228 RXJ262228:RXP262228 SHF262228:SHL262228 SRB262228:SRH262228 TAX262228:TBD262228 TKT262228:TKZ262228 TUP262228:TUV262228 UEL262228:UER262228 UOH262228:UON262228 UYD262228:UYJ262228 VHZ262228:VIF262228 VRV262228:VSB262228 WBR262228:WBX262228 WLN262228:WLT262228 WVJ262228:WVP262228 B327764:H327764 IX327764:JD327764 ST327764:SZ327764 ACP327764:ACV327764 AML327764:AMR327764 AWH327764:AWN327764 BGD327764:BGJ327764 BPZ327764:BQF327764 BZV327764:CAB327764 CJR327764:CJX327764 CTN327764:CTT327764 DDJ327764:DDP327764 DNF327764:DNL327764 DXB327764:DXH327764 EGX327764:EHD327764 EQT327764:EQZ327764 FAP327764:FAV327764 FKL327764:FKR327764 FUH327764:FUN327764 GED327764:GEJ327764 GNZ327764:GOF327764 GXV327764:GYB327764 HHR327764:HHX327764 HRN327764:HRT327764 IBJ327764:IBP327764 ILF327764:ILL327764 IVB327764:IVH327764 JEX327764:JFD327764 JOT327764:JOZ327764 JYP327764:JYV327764 KIL327764:KIR327764 KSH327764:KSN327764 LCD327764:LCJ327764 LLZ327764:LMF327764 LVV327764:LWB327764 MFR327764:MFX327764 MPN327764:MPT327764 MZJ327764:MZP327764 NJF327764:NJL327764 NTB327764:NTH327764 OCX327764:ODD327764 OMT327764:OMZ327764 OWP327764:OWV327764 PGL327764:PGR327764 PQH327764:PQN327764 QAD327764:QAJ327764 QJZ327764:QKF327764 QTV327764:QUB327764 RDR327764:RDX327764 RNN327764:RNT327764 RXJ327764:RXP327764 SHF327764:SHL327764 SRB327764:SRH327764 TAX327764:TBD327764 TKT327764:TKZ327764 TUP327764:TUV327764 UEL327764:UER327764 UOH327764:UON327764 UYD327764:UYJ327764 VHZ327764:VIF327764 VRV327764:VSB327764 WBR327764:WBX327764 WLN327764:WLT327764 WVJ327764:WVP327764 B393300:H393300 IX393300:JD393300 ST393300:SZ393300 ACP393300:ACV393300 AML393300:AMR393300 AWH393300:AWN393300 BGD393300:BGJ393300 BPZ393300:BQF393300 BZV393300:CAB393300 CJR393300:CJX393300 CTN393300:CTT393300 DDJ393300:DDP393300 DNF393300:DNL393300 DXB393300:DXH393300 EGX393300:EHD393300 EQT393300:EQZ393300 FAP393300:FAV393300 FKL393300:FKR393300 FUH393300:FUN393300 GED393300:GEJ393300 GNZ393300:GOF393300 GXV393300:GYB393300 HHR393300:HHX393300 HRN393300:HRT393300 IBJ393300:IBP393300 ILF393300:ILL393300 IVB393300:IVH393300 JEX393300:JFD393300 JOT393300:JOZ393300 JYP393300:JYV393300 KIL393300:KIR393300 KSH393300:KSN393300 LCD393300:LCJ393300 LLZ393300:LMF393300 LVV393300:LWB393300 MFR393300:MFX393300 MPN393300:MPT393300 MZJ393300:MZP393300 NJF393300:NJL393300 NTB393300:NTH393300 OCX393300:ODD393300 OMT393300:OMZ393300 OWP393300:OWV393300 PGL393300:PGR393300 PQH393300:PQN393300 QAD393300:QAJ393300 QJZ393300:QKF393300 QTV393300:QUB393300 RDR393300:RDX393300 RNN393300:RNT393300 RXJ393300:RXP393300 SHF393300:SHL393300 SRB393300:SRH393300 TAX393300:TBD393300 TKT393300:TKZ393300 TUP393300:TUV393300 UEL393300:UER393300 UOH393300:UON393300 UYD393300:UYJ393300 VHZ393300:VIF393300 VRV393300:VSB393300 WBR393300:WBX393300 WLN393300:WLT393300 WVJ393300:WVP393300 B458836:H458836 IX458836:JD458836 ST458836:SZ458836 ACP458836:ACV458836 AML458836:AMR458836 AWH458836:AWN458836 BGD458836:BGJ458836 BPZ458836:BQF458836 BZV458836:CAB458836 CJR458836:CJX458836 CTN458836:CTT458836 DDJ458836:DDP458836 DNF458836:DNL458836 DXB458836:DXH458836 EGX458836:EHD458836 EQT458836:EQZ458836 FAP458836:FAV458836 FKL458836:FKR458836 FUH458836:FUN458836 GED458836:GEJ458836 GNZ458836:GOF458836 GXV458836:GYB458836 HHR458836:HHX458836 HRN458836:HRT458836 IBJ458836:IBP458836 ILF458836:ILL458836 IVB458836:IVH458836 JEX458836:JFD458836 JOT458836:JOZ458836 JYP458836:JYV458836 KIL458836:KIR458836 KSH458836:KSN458836 LCD458836:LCJ458836 LLZ458836:LMF458836 LVV458836:LWB458836 MFR458836:MFX458836 MPN458836:MPT458836 MZJ458836:MZP458836 NJF458836:NJL458836 NTB458836:NTH458836 OCX458836:ODD458836 OMT458836:OMZ458836 OWP458836:OWV458836 PGL458836:PGR458836 PQH458836:PQN458836 QAD458836:QAJ458836 QJZ458836:QKF458836 QTV458836:QUB458836 RDR458836:RDX458836 RNN458836:RNT458836 RXJ458836:RXP458836 SHF458836:SHL458836 SRB458836:SRH458836 TAX458836:TBD458836 TKT458836:TKZ458836 TUP458836:TUV458836 UEL458836:UER458836 UOH458836:UON458836 UYD458836:UYJ458836 VHZ458836:VIF458836 VRV458836:VSB458836 WBR458836:WBX458836 WLN458836:WLT458836 WVJ458836:WVP458836 B524372:H524372 IX524372:JD524372 ST524372:SZ524372 ACP524372:ACV524372 AML524372:AMR524372 AWH524372:AWN524372 BGD524372:BGJ524372 BPZ524372:BQF524372 BZV524372:CAB524372 CJR524372:CJX524372 CTN524372:CTT524372 DDJ524372:DDP524372 DNF524372:DNL524372 DXB524372:DXH524372 EGX524372:EHD524372 EQT524372:EQZ524372 FAP524372:FAV524372 FKL524372:FKR524372 FUH524372:FUN524372 GED524372:GEJ524372 GNZ524372:GOF524372 GXV524372:GYB524372 HHR524372:HHX524372 HRN524372:HRT524372 IBJ524372:IBP524372 ILF524372:ILL524372 IVB524372:IVH524372 JEX524372:JFD524372 JOT524372:JOZ524372 JYP524372:JYV524372 KIL524372:KIR524372 KSH524372:KSN524372 LCD524372:LCJ524372 LLZ524372:LMF524372 LVV524372:LWB524372 MFR524372:MFX524372 MPN524372:MPT524372 MZJ524372:MZP524372 NJF524372:NJL524372 NTB524372:NTH524372 OCX524372:ODD524372 OMT524372:OMZ524372 OWP524372:OWV524372 PGL524372:PGR524372 PQH524372:PQN524372 QAD524372:QAJ524372 QJZ524372:QKF524372 QTV524372:QUB524372 RDR524372:RDX524372 RNN524372:RNT524372 RXJ524372:RXP524372 SHF524372:SHL524372 SRB524372:SRH524372 TAX524372:TBD524372 TKT524372:TKZ524372 TUP524372:TUV524372 UEL524372:UER524372 UOH524372:UON524372 UYD524372:UYJ524372 VHZ524372:VIF524372 VRV524372:VSB524372 WBR524372:WBX524372 WLN524372:WLT524372 WVJ524372:WVP524372 B589908:H589908 IX589908:JD589908 ST589908:SZ589908 ACP589908:ACV589908 AML589908:AMR589908 AWH589908:AWN589908 BGD589908:BGJ589908 BPZ589908:BQF589908 BZV589908:CAB589908 CJR589908:CJX589908 CTN589908:CTT589908 DDJ589908:DDP589908 DNF589908:DNL589908 DXB589908:DXH589908 EGX589908:EHD589908 EQT589908:EQZ589908 FAP589908:FAV589908 FKL589908:FKR589908 FUH589908:FUN589908 GED589908:GEJ589908 GNZ589908:GOF589908 GXV589908:GYB589908 HHR589908:HHX589908 HRN589908:HRT589908 IBJ589908:IBP589908 ILF589908:ILL589908 IVB589908:IVH589908 JEX589908:JFD589908 JOT589908:JOZ589908 JYP589908:JYV589908 KIL589908:KIR589908 KSH589908:KSN589908 LCD589908:LCJ589908 LLZ589908:LMF589908 LVV589908:LWB589908 MFR589908:MFX589908 MPN589908:MPT589908 MZJ589908:MZP589908 NJF589908:NJL589908 NTB589908:NTH589908 OCX589908:ODD589908 OMT589908:OMZ589908 OWP589908:OWV589908 PGL589908:PGR589908 PQH589908:PQN589908 QAD589908:QAJ589908 QJZ589908:QKF589908 QTV589908:QUB589908 RDR589908:RDX589908 RNN589908:RNT589908 RXJ589908:RXP589908 SHF589908:SHL589908 SRB589908:SRH589908 TAX589908:TBD589908 TKT589908:TKZ589908 TUP589908:TUV589908 UEL589908:UER589908 UOH589908:UON589908 UYD589908:UYJ589908 VHZ589908:VIF589908 VRV589908:VSB589908 WBR589908:WBX589908 WLN589908:WLT589908 WVJ589908:WVP589908 B655444:H655444 IX655444:JD655444 ST655444:SZ655444 ACP655444:ACV655444 AML655444:AMR655444 AWH655444:AWN655444 BGD655444:BGJ655444 BPZ655444:BQF655444 BZV655444:CAB655444 CJR655444:CJX655444 CTN655444:CTT655444 DDJ655444:DDP655444 DNF655444:DNL655444 DXB655444:DXH655444 EGX655444:EHD655444 EQT655444:EQZ655444 FAP655444:FAV655444 FKL655444:FKR655444 FUH655444:FUN655444 GED655444:GEJ655444 GNZ655444:GOF655444 GXV655444:GYB655444 HHR655444:HHX655444 HRN655444:HRT655444 IBJ655444:IBP655444 ILF655444:ILL655444 IVB655444:IVH655444 JEX655444:JFD655444 JOT655444:JOZ655444 JYP655444:JYV655444 KIL655444:KIR655444 KSH655444:KSN655444 LCD655444:LCJ655444 LLZ655444:LMF655444 LVV655444:LWB655444 MFR655444:MFX655444 MPN655444:MPT655444 MZJ655444:MZP655444 NJF655444:NJL655444 NTB655444:NTH655444 OCX655444:ODD655444 OMT655444:OMZ655444 OWP655444:OWV655444 PGL655444:PGR655444 PQH655444:PQN655444 QAD655444:QAJ655444 QJZ655444:QKF655444 QTV655444:QUB655444 RDR655444:RDX655444 RNN655444:RNT655444 RXJ655444:RXP655444 SHF655444:SHL655444 SRB655444:SRH655444 TAX655444:TBD655444 TKT655444:TKZ655444 TUP655444:TUV655444 UEL655444:UER655444 UOH655444:UON655444 UYD655444:UYJ655444 VHZ655444:VIF655444 VRV655444:VSB655444 WBR655444:WBX655444 WLN655444:WLT655444 WVJ655444:WVP655444 B720980:H720980 IX720980:JD720980 ST720980:SZ720980 ACP720980:ACV720980 AML720980:AMR720980 AWH720980:AWN720980 BGD720980:BGJ720980 BPZ720980:BQF720980 BZV720980:CAB720980 CJR720980:CJX720980 CTN720980:CTT720980 DDJ720980:DDP720980 DNF720980:DNL720980 DXB720980:DXH720980 EGX720980:EHD720980 EQT720980:EQZ720980 FAP720980:FAV720980 FKL720980:FKR720980 FUH720980:FUN720980 GED720980:GEJ720980 GNZ720980:GOF720980 GXV720980:GYB720980 HHR720980:HHX720980 HRN720980:HRT720980 IBJ720980:IBP720980 ILF720980:ILL720980 IVB720980:IVH720980 JEX720980:JFD720980 JOT720980:JOZ720980 JYP720980:JYV720980 KIL720980:KIR720980 KSH720980:KSN720980 LCD720980:LCJ720980 LLZ720980:LMF720980 LVV720980:LWB720980 MFR720980:MFX720980 MPN720980:MPT720980 MZJ720980:MZP720980 NJF720980:NJL720980 NTB720980:NTH720980 OCX720980:ODD720980 OMT720980:OMZ720980 OWP720980:OWV720980 PGL720980:PGR720980 PQH720980:PQN720980 QAD720980:QAJ720980 QJZ720980:QKF720980 QTV720980:QUB720980 RDR720980:RDX720980 RNN720980:RNT720980 RXJ720980:RXP720980 SHF720980:SHL720980 SRB720980:SRH720980 TAX720980:TBD720980 TKT720980:TKZ720980 TUP720980:TUV720980 UEL720980:UER720980 UOH720980:UON720980 UYD720980:UYJ720980 VHZ720980:VIF720980 VRV720980:VSB720980 WBR720980:WBX720980 WLN720980:WLT720980 WVJ720980:WVP720980 B786516:H786516 IX786516:JD786516 ST786516:SZ786516 ACP786516:ACV786516 AML786516:AMR786516 AWH786516:AWN786516 BGD786516:BGJ786516 BPZ786516:BQF786516 BZV786516:CAB786516 CJR786516:CJX786516 CTN786516:CTT786516 DDJ786516:DDP786516 DNF786516:DNL786516 DXB786516:DXH786516 EGX786516:EHD786516 EQT786516:EQZ786516 FAP786516:FAV786516 FKL786516:FKR786516 FUH786516:FUN786516 GED786516:GEJ786516 GNZ786516:GOF786516 GXV786516:GYB786516 HHR786516:HHX786516 HRN786516:HRT786516 IBJ786516:IBP786516 ILF786516:ILL786516 IVB786516:IVH786516 JEX786516:JFD786516 JOT786516:JOZ786516 JYP786516:JYV786516 KIL786516:KIR786516 KSH786516:KSN786516 LCD786516:LCJ786516 LLZ786516:LMF786516 LVV786516:LWB786516 MFR786516:MFX786516 MPN786516:MPT786516 MZJ786516:MZP786516 NJF786516:NJL786516 NTB786516:NTH786516 OCX786516:ODD786516 OMT786516:OMZ786516 OWP786516:OWV786516 PGL786516:PGR786516 PQH786516:PQN786516 QAD786516:QAJ786516 QJZ786516:QKF786516 QTV786516:QUB786516 RDR786516:RDX786516 RNN786516:RNT786516 RXJ786516:RXP786516 SHF786516:SHL786516 SRB786516:SRH786516 TAX786516:TBD786516 TKT786516:TKZ786516 TUP786516:TUV786516 UEL786516:UER786516 UOH786516:UON786516 UYD786516:UYJ786516 VHZ786516:VIF786516 VRV786516:VSB786516 WBR786516:WBX786516 WLN786516:WLT786516 WVJ786516:WVP786516 B852052:H852052 IX852052:JD852052 ST852052:SZ852052 ACP852052:ACV852052 AML852052:AMR852052 AWH852052:AWN852052 BGD852052:BGJ852052 BPZ852052:BQF852052 BZV852052:CAB852052 CJR852052:CJX852052 CTN852052:CTT852052 DDJ852052:DDP852052 DNF852052:DNL852052 DXB852052:DXH852052 EGX852052:EHD852052 EQT852052:EQZ852052 FAP852052:FAV852052 FKL852052:FKR852052 FUH852052:FUN852052 GED852052:GEJ852052 GNZ852052:GOF852052 GXV852052:GYB852052 HHR852052:HHX852052 HRN852052:HRT852052 IBJ852052:IBP852052 ILF852052:ILL852052 IVB852052:IVH852052 JEX852052:JFD852052 JOT852052:JOZ852052 JYP852052:JYV852052 KIL852052:KIR852052 KSH852052:KSN852052 LCD852052:LCJ852052 LLZ852052:LMF852052 LVV852052:LWB852052 MFR852052:MFX852052 MPN852052:MPT852052 MZJ852052:MZP852052 NJF852052:NJL852052 NTB852052:NTH852052 OCX852052:ODD852052 OMT852052:OMZ852052 OWP852052:OWV852052 PGL852052:PGR852052 PQH852052:PQN852052 QAD852052:QAJ852052 QJZ852052:QKF852052 QTV852052:QUB852052 RDR852052:RDX852052 RNN852052:RNT852052 RXJ852052:RXP852052 SHF852052:SHL852052 SRB852052:SRH852052 TAX852052:TBD852052 TKT852052:TKZ852052 TUP852052:TUV852052 UEL852052:UER852052 UOH852052:UON852052 UYD852052:UYJ852052 VHZ852052:VIF852052 VRV852052:VSB852052 WBR852052:WBX852052 WLN852052:WLT852052 WVJ852052:WVP852052 B917588:H917588 IX917588:JD917588 ST917588:SZ917588 ACP917588:ACV917588 AML917588:AMR917588 AWH917588:AWN917588 BGD917588:BGJ917588 BPZ917588:BQF917588 BZV917588:CAB917588 CJR917588:CJX917588 CTN917588:CTT917588 DDJ917588:DDP917588 DNF917588:DNL917588 DXB917588:DXH917588 EGX917588:EHD917588 EQT917588:EQZ917588 FAP917588:FAV917588 FKL917588:FKR917588 FUH917588:FUN917588 GED917588:GEJ917588 GNZ917588:GOF917588 GXV917588:GYB917588 HHR917588:HHX917588 HRN917588:HRT917588 IBJ917588:IBP917588 ILF917588:ILL917588 IVB917588:IVH917588 JEX917588:JFD917588 JOT917588:JOZ917588 JYP917588:JYV917588 KIL917588:KIR917588 KSH917588:KSN917588 LCD917588:LCJ917588 LLZ917588:LMF917588 LVV917588:LWB917588 MFR917588:MFX917588 MPN917588:MPT917588 MZJ917588:MZP917588 NJF917588:NJL917588 NTB917588:NTH917588 OCX917588:ODD917588 OMT917588:OMZ917588 OWP917588:OWV917588 PGL917588:PGR917588 PQH917588:PQN917588 QAD917588:QAJ917588 QJZ917588:QKF917588 QTV917588:QUB917588 RDR917588:RDX917588 RNN917588:RNT917588 RXJ917588:RXP917588 SHF917588:SHL917588 SRB917588:SRH917588 TAX917588:TBD917588 TKT917588:TKZ917588 TUP917588:TUV917588 UEL917588:UER917588 UOH917588:UON917588 UYD917588:UYJ917588 VHZ917588:VIF917588 VRV917588:VSB917588 WBR917588:WBX917588 WLN917588:WLT917588 WVJ917588:WVP917588 B983124:H983124 IX983124:JD983124 ST983124:SZ983124 ACP983124:ACV983124 AML983124:AMR983124 AWH983124:AWN983124 BGD983124:BGJ983124 BPZ983124:BQF983124 BZV983124:CAB983124 CJR983124:CJX983124 CTN983124:CTT983124 DDJ983124:DDP983124 DNF983124:DNL983124 DXB983124:DXH983124 EGX983124:EHD983124 EQT983124:EQZ983124 FAP983124:FAV983124 FKL983124:FKR983124 FUH983124:FUN983124 GED983124:GEJ983124 GNZ983124:GOF983124 GXV983124:GYB983124 HHR983124:HHX983124 HRN983124:HRT983124 IBJ983124:IBP983124 ILF983124:ILL983124 IVB983124:IVH983124 JEX983124:JFD983124 JOT983124:JOZ983124 JYP983124:JYV983124 KIL983124:KIR983124 KSH983124:KSN983124 LCD983124:LCJ983124 LLZ983124:LMF983124 LVV983124:LWB983124 MFR983124:MFX983124 MPN983124:MPT983124 MZJ983124:MZP983124 NJF983124:NJL983124 NTB983124:NTH983124 OCX983124:ODD983124 OMT983124:OMZ983124 OWP983124:OWV983124 PGL983124:PGR983124 PQH983124:PQN983124 QAD983124:QAJ983124 QJZ983124:QKF983124 QTV983124:QUB983124 RDR983124:RDX983124 RNN983124:RNT983124 RXJ983124:RXP983124 SHF983124:SHL983124 SRB983124:SRH983124 TAX983124:TBD983124 TKT983124:TKZ983124 TUP983124:TUV983124 UEL983124:UER983124 UOH983124:UON983124 UYD983124:UYJ983124 VHZ983124:VIF983124 VRV983124:VSB983124 WBR983124:WBX983124 WLN983124:WLT983124 WVJ983124:WVP983124 B100:H100 IX100:JD100 ST100:SZ100 ACP100:ACV100 AML100:AMR100 AWH100:AWN100 BGD100:BGJ100 BPZ100:BQF100 BZV100:CAB100 CJR100:CJX100 CTN100:CTT100 DDJ100:DDP100 DNF100:DNL100 DXB100:DXH100 EGX100:EHD100 EQT100:EQZ100 FAP100:FAV100 FKL100:FKR100 FUH100:FUN100 GED100:GEJ100 GNZ100:GOF100 GXV100:GYB100 HHR100:HHX100 HRN100:HRT100 IBJ100:IBP100 ILF100:ILL100 IVB100:IVH100 JEX100:JFD100 JOT100:JOZ100 JYP100:JYV100 KIL100:KIR100 KSH100:KSN100 LCD100:LCJ100 LLZ100:LMF100 LVV100:LWB100 MFR100:MFX100 MPN100:MPT100 MZJ100:MZP100 NJF100:NJL100 NTB100:NTH100 OCX100:ODD100 OMT100:OMZ100 OWP100:OWV100 PGL100:PGR100 PQH100:PQN100 QAD100:QAJ100 QJZ100:QKF100 QTV100:QUB100 RDR100:RDX100 RNN100:RNT100 RXJ100:RXP100 SHF100:SHL100 SRB100:SRH100 TAX100:TBD100 TKT100:TKZ100 TUP100:TUV100 UEL100:UER100 UOH100:UON100 UYD100:UYJ100 VHZ100:VIF100 VRV100:VSB100 WBR100:WBX100 WLN100:WLT100 WVJ100:WVP100 B65636:H65636 IX65636:JD65636 ST65636:SZ65636 ACP65636:ACV65636 AML65636:AMR65636 AWH65636:AWN65636 BGD65636:BGJ65636 BPZ65636:BQF65636 BZV65636:CAB65636 CJR65636:CJX65636 CTN65636:CTT65636 DDJ65636:DDP65636 DNF65636:DNL65636 DXB65636:DXH65636 EGX65636:EHD65636 EQT65636:EQZ65636 FAP65636:FAV65636 FKL65636:FKR65636 FUH65636:FUN65636 GED65636:GEJ65636 GNZ65636:GOF65636 GXV65636:GYB65636 HHR65636:HHX65636 HRN65636:HRT65636 IBJ65636:IBP65636 ILF65636:ILL65636 IVB65636:IVH65636 JEX65636:JFD65636 JOT65636:JOZ65636 JYP65636:JYV65636 KIL65636:KIR65636 KSH65636:KSN65636 LCD65636:LCJ65636 LLZ65636:LMF65636 LVV65636:LWB65636 MFR65636:MFX65636 MPN65636:MPT65636 MZJ65636:MZP65636 NJF65636:NJL65636 NTB65636:NTH65636 OCX65636:ODD65636 OMT65636:OMZ65636 OWP65636:OWV65636 PGL65636:PGR65636 PQH65636:PQN65636 QAD65636:QAJ65636 QJZ65636:QKF65636 QTV65636:QUB65636 RDR65636:RDX65636 RNN65636:RNT65636 RXJ65636:RXP65636 SHF65636:SHL65636 SRB65636:SRH65636 TAX65636:TBD65636 TKT65636:TKZ65636 TUP65636:TUV65636 UEL65636:UER65636 UOH65636:UON65636 UYD65636:UYJ65636 VHZ65636:VIF65636 VRV65636:VSB65636 WBR65636:WBX65636 WLN65636:WLT65636 WVJ65636:WVP65636 B131172:H131172 IX131172:JD131172 ST131172:SZ131172 ACP131172:ACV131172 AML131172:AMR131172 AWH131172:AWN131172 BGD131172:BGJ131172 BPZ131172:BQF131172 BZV131172:CAB131172 CJR131172:CJX131172 CTN131172:CTT131172 DDJ131172:DDP131172 DNF131172:DNL131172 DXB131172:DXH131172 EGX131172:EHD131172 EQT131172:EQZ131172 FAP131172:FAV131172 FKL131172:FKR131172 FUH131172:FUN131172 GED131172:GEJ131172 GNZ131172:GOF131172 GXV131172:GYB131172 HHR131172:HHX131172 HRN131172:HRT131172 IBJ131172:IBP131172 ILF131172:ILL131172 IVB131172:IVH131172 JEX131172:JFD131172 JOT131172:JOZ131172 JYP131172:JYV131172 KIL131172:KIR131172 KSH131172:KSN131172 LCD131172:LCJ131172 LLZ131172:LMF131172 LVV131172:LWB131172 MFR131172:MFX131172 MPN131172:MPT131172 MZJ131172:MZP131172 NJF131172:NJL131172 NTB131172:NTH131172 OCX131172:ODD131172 OMT131172:OMZ131172 OWP131172:OWV131172 PGL131172:PGR131172 PQH131172:PQN131172 QAD131172:QAJ131172 QJZ131172:QKF131172 QTV131172:QUB131172 RDR131172:RDX131172 RNN131172:RNT131172 RXJ131172:RXP131172 SHF131172:SHL131172 SRB131172:SRH131172 TAX131172:TBD131172 TKT131172:TKZ131172 TUP131172:TUV131172 UEL131172:UER131172 UOH131172:UON131172 UYD131172:UYJ131172 VHZ131172:VIF131172 VRV131172:VSB131172 WBR131172:WBX131172 WLN131172:WLT131172 WVJ131172:WVP131172 B196708:H196708 IX196708:JD196708 ST196708:SZ196708 ACP196708:ACV196708 AML196708:AMR196708 AWH196708:AWN196708 BGD196708:BGJ196708 BPZ196708:BQF196708 BZV196708:CAB196708 CJR196708:CJX196708 CTN196708:CTT196708 DDJ196708:DDP196708 DNF196708:DNL196708 DXB196708:DXH196708 EGX196708:EHD196708 EQT196708:EQZ196708 FAP196708:FAV196708 FKL196708:FKR196708 FUH196708:FUN196708 GED196708:GEJ196708 GNZ196708:GOF196708 GXV196708:GYB196708 HHR196708:HHX196708 HRN196708:HRT196708 IBJ196708:IBP196708 ILF196708:ILL196708 IVB196708:IVH196708 JEX196708:JFD196708 JOT196708:JOZ196708 JYP196708:JYV196708 KIL196708:KIR196708 KSH196708:KSN196708 LCD196708:LCJ196708 LLZ196708:LMF196708 LVV196708:LWB196708 MFR196708:MFX196708 MPN196708:MPT196708 MZJ196708:MZP196708 NJF196708:NJL196708 NTB196708:NTH196708 OCX196708:ODD196708 OMT196708:OMZ196708 OWP196708:OWV196708 PGL196708:PGR196708 PQH196708:PQN196708 QAD196708:QAJ196708 QJZ196708:QKF196708 QTV196708:QUB196708 RDR196708:RDX196708 RNN196708:RNT196708 RXJ196708:RXP196708 SHF196708:SHL196708 SRB196708:SRH196708 TAX196708:TBD196708 TKT196708:TKZ196708 TUP196708:TUV196708 UEL196708:UER196708 UOH196708:UON196708 UYD196708:UYJ196708 VHZ196708:VIF196708 VRV196708:VSB196708 WBR196708:WBX196708 WLN196708:WLT196708 WVJ196708:WVP196708 B262244:H262244 IX262244:JD262244 ST262244:SZ262244 ACP262244:ACV262244 AML262244:AMR262244 AWH262244:AWN262244 BGD262244:BGJ262244 BPZ262244:BQF262244 BZV262244:CAB262244 CJR262244:CJX262244 CTN262244:CTT262244 DDJ262244:DDP262244 DNF262244:DNL262244 DXB262244:DXH262244 EGX262244:EHD262244 EQT262244:EQZ262244 FAP262244:FAV262244 FKL262244:FKR262244 FUH262244:FUN262244 GED262244:GEJ262244 GNZ262244:GOF262244 GXV262244:GYB262244 HHR262244:HHX262244 HRN262244:HRT262244 IBJ262244:IBP262244 ILF262244:ILL262244 IVB262244:IVH262244 JEX262244:JFD262244 JOT262244:JOZ262244 JYP262244:JYV262244 KIL262244:KIR262244 KSH262244:KSN262244 LCD262244:LCJ262244 LLZ262244:LMF262244 LVV262244:LWB262244 MFR262244:MFX262244 MPN262244:MPT262244 MZJ262244:MZP262244 NJF262244:NJL262244 NTB262244:NTH262244 OCX262244:ODD262244 OMT262244:OMZ262244 OWP262244:OWV262244 PGL262244:PGR262244 PQH262244:PQN262244 QAD262244:QAJ262244 QJZ262244:QKF262244 QTV262244:QUB262244 RDR262244:RDX262244 RNN262244:RNT262244 RXJ262244:RXP262244 SHF262244:SHL262244 SRB262244:SRH262244 TAX262244:TBD262244 TKT262244:TKZ262244 TUP262244:TUV262244 UEL262244:UER262244 UOH262244:UON262244 UYD262244:UYJ262244 VHZ262244:VIF262244 VRV262244:VSB262244 WBR262244:WBX262244 WLN262244:WLT262244 WVJ262244:WVP262244 B327780:H327780 IX327780:JD327780 ST327780:SZ327780 ACP327780:ACV327780 AML327780:AMR327780 AWH327780:AWN327780 BGD327780:BGJ327780 BPZ327780:BQF327780 BZV327780:CAB327780 CJR327780:CJX327780 CTN327780:CTT327780 DDJ327780:DDP327780 DNF327780:DNL327780 DXB327780:DXH327780 EGX327780:EHD327780 EQT327780:EQZ327780 FAP327780:FAV327780 FKL327780:FKR327780 FUH327780:FUN327780 GED327780:GEJ327780 GNZ327780:GOF327780 GXV327780:GYB327780 HHR327780:HHX327780 HRN327780:HRT327780 IBJ327780:IBP327780 ILF327780:ILL327780 IVB327780:IVH327780 JEX327780:JFD327780 JOT327780:JOZ327780 JYP327780:JYV327780 KIL327780:KIR327780 KSH327780:KSN327780 LCD327780:LCJ327780 LLZ327780:LMF327780 LVV327780:LWB327780 MFR327780:MFX327780 MPN327780:MPT327780 MZJ327780:MZP327780 NJF327780:NJL327780 NTB327780:NTH327780 OCX327780:ODD327780 OMT327780:OMZ327780 OWP327780:OWV327780 PGL327780:PGR327780 PQH327780:PQN327780 QAD327780:QAJ327780 QJZ327780:QKF327780 QTV327780:QUB327780 RDR327780:RDX327780 RNN327780:RNT327780 RXJ327780:RXP327780 SHF327780:SHL327780 SRB327780:SRH327780 TAX327780:TBD327780 TKT327780:TKZ327780 TUP327780:TUV327780 UEL327780:UER327780 UOH327780:UON327780 UYD327780:UYJ327780 VHZ327780:VIF327780 VRV327780:VSB327780 WBR327780:WBX327780 WLN327780:WLT327780 WVJ327780:WVP327780 B393316:H393316 IX393316:JD393316 ST393316:SZ393316 ACP393316:ACV393316 AML393316:AMR393316 AWH393316:AWN393316 BGD393316:BGJ393316 BPZ393316:BQF393316 BZV393316:CAB393316 CJR393316:CJX393316 CTN393316:CTT393316 DDJ393316:DDP393316 DNF393316:DNL393316 DXB393316:DXH393316 EGX393316:EHD393316 EQT393316:EQZ393316 FAP393316:FAV393316 FKL393316:FKR393316 FUH393316:FUN393316 GED393316:GEJ393316 GNZ393316:GOF393316 GXV393316:GYB393316 HHR393316:HHX393316 HRN393316:HRT393316 IBJ393316:IBP393316 ILF393316:ILL393316 IVB393316:IVH393316 JEX393316:JFD393316 JOT393316:JOZ393316 JYP393316:JYV393316 KIL393316:KIR393316 KSH393316:KSN393316 LCD393316:LCJ393316 LLZ393316:LMF393316 LVV393316:LWB393316 MFR393316:MFX393316 MPN393316:MPT393316 MZJ393316:MZP393316 NJF393316:NJL393316 NTB393316:NTH393316 OCX393316:ODD393316 OMT393316:OMZ393316 OWP393316:OWV393316 PGL393316:PGR393316 PQH393316:PQN393316 QAD393316:QAJ393316 QJZ393316:QKF393316 QTV393316:QUB393316 RDR393316:RDX393316 RNN393316:RNT393316 RXJ393316:RXP393316 SHF393316:SHL393316 SRB393316:SRH393316 TAX393316:TBD393316 TKT393316:TKZ393316 TUP393316:TUV393316 UEL393316:UER393316 UOH393316:UON393316 UYD393316:UYJ393316 VHZ393316:VIF393316 VRV393316:VSB393316 WBR393316:WBX393316 WLN393316:WLT393316 WVJ393316:WVP393316 B458852:H458852 IX458852:JD458852 ST458852:SZ458852 ACP458852:ACV458852 AML458852:AMR458852 AWH458852:AWN458852 BGD458852:BGJ458852 BPZ458852:BQF458852 BZV458852:CAB458852 CJR458852:CJX458852 CTN458852:CTT458852 DDJ458852:DDP458852 DNF458852:DNL458852 DXB458852:DXH458852 EGX458852:EHD458852 EQT458852:EQZ458852 FAP458852:FAV458852 FKL458852:FKR458852 FUH458852:FUN458852 GED458852:GEJ458852 GNZ458852:GOF458852 GXV458852:GYB458852 HHR458852:HHX458852 HRN458852:HRT458852 IBJ458852:IBP458852 ILF458852:ILL458852 IVB458852:IVH458852 JEX458852:JFD458852 JOT458852:JOZ458852 JYP458852:JYV458852 KIL458852:KIR458852 KSH458852:KSN458852 LCD458852:LCJ458852 LLZ458852:LMF458852 LVV458852:LWB458852 MFR458852:MFX458852 MPN458852:MPT458852 MZJ458852:MZP458852 NJF458852:NJL458852 NTB458852:NTH458852 OCX458852:ODD458852 OMT458852:OMZ458852 OWP458852:OWV458852 PGL458852:PGR458852 PQH458852:PQN458852 QAD458852:QAJ458852 QJZ458852:QKF458852 QTV458852:QUB458852 RDR458852:RDX458852 RNN458852:RNT458852 RXJ458852:RXP458852 SHF458852:SHL458852 SRB458852:SRH458852 TAX458852:TBD458852 TKT458852:TKZ458852 TUP458852:TUV458852 UEL458852:UER458852 UOH458852:UON458852 UYD458852:UYJ458852 VHZ458852:VIF458852 VRV458852:VSB458852 WBR458852:WBX458852 WLN458852:WLT458852 WVJ458852:WVP458852 B524388:H524388 IX524388:JD524388 ST524388:SZ524388 ACP524388:ACV524388 AML524388:AMR524388 AWH524388:AWN524388 BGD524388:BGJ524388 BPZ524388:BQF524388 BZV524388:CAB524388 CJR524388:CJX524388 CTN524388:CTT524388 DDJ524388:DDP524388 DNF524388:DNL524388 DXB524388:DXH524388 EGX524388:EHD524388 EQT524388:EQZ524388 FAP524388:FAV524388 FKL524388:FKR524388 FUH524388:FUN524388 GED524388:GEJ524388 GNZ524388:GOF524388 GXV524388:GYB524388 HHR524388:HHX524388 HRN524388:HRT524388 IBJ524388:IBP524388 ILF524388:ILL524388 IVB524388:IVH524388 JEX524388:JFD524388 JOT524388:JOZ524388 JYP524388:JYV524388 KIL524388:KIR524388 KSH524388:KSN524388 LCD524388:LCJ524388 LLZ524388:LMF524388 LVV524388:LWB524388 MFR524388:MFX524388 MPN524388:MPT524388 MZJ524388:MZP524388 NJF524388:NJL524388 NTB524388:NTH524388 OCX524388:ODD524388 OMT524388:OMZ524388 OWP524388:OWV524388 PGL524388:PGR524388 PQH524388:PQN524388 QAD524388:QAJ524388 QJZ524388:QKF524388 QTV524388:QUB524388 RDR524388:RDX524388 RNN524388:RNT524388 RXJ524388:RXP524388 SHF524388:SHL524388 SRB524388:SRH524388 TAX524388:TBD524388 TKT524388:TKZ524388 TUP524388:TUV524388 UEL524388:UER524388 UOH524388:UON524388 UYD524388:UYJ524388 VHZ524388:VIF524388 VRV524388:VSB524388 WBR524388:WBX524388 WLN524388:WLT524388 WVJ524388:WVP524388 B589924:H589924 IX589924:JD589924 ST589924:SZ589924 ACP589924:ACV589924 AML589924:AMR589924 AWH589924:AWN589924 BGD589924:BGJ589924 BPZ589924:BQF589924 BZV589924:CAB589924 CJR589924:CJX589924 CTN589924:CTT589924 DDJ589924:DDP589924 DNF589924:DNL589924 DXB589924:DXH589924 EGX589924:EHD589924 EQT589924:EQZ589924 FAP589924:FAV589924 FKL589924:FKR589924 FUH589924:FUN589924 GED589924:GEJ589924 GNZ589924:GOF589924 GXV589924:GYB589924 HHR589924:HHX589924 HRN589924:HRT589924 IBJ589924:IBP589924 ILF589924:ILL589924 IVB589924:IVH589924 JEX589924:JFD589924 JOT589924:JOZ589924 JYP589924:JYV589924 KIL589924:KIR589924 KSH589924:KSN589924 LCD589924:LCJ589924 LLZ589924:LMF589924 LVV589924:LWB589924 MFR589924:MFX589924 MPN589924:MPT589924 MZJ589924:MZP589924 NJF589924:NJL589924 NTB589924:NTH589924 OCX589924:ODD589924 OMT589924:OMZ589924 OWP589924:OWV589924 PGL589924:PGR589924 PQH589924:PQN589924 QAD589924:QAJ589924 QJZ589924:QKF589924 QTV589924:QUB589924 RDR589924:RDX589924 RNN589924:RNT589924 RXJ589924:RXP589924 SHF589924:SHL589924 SRB589924:SRH589924 TAX589924:TBD589924 TKT589924:TKZ589924 TUP589924:TUV589924 UEL589924:UER589924 UOH589924:UON589924 UYD589924:UYJ589924 VHZ589924:VIF589924 VRV589924:VSB589924 WBR589924:WBX589924 WLN589924:WLT589924 WVJ589924:WVP589924 B655460:H655460 IX655460:JD655460 ST655460:SZ655460 ACP655460:ACV655460 AML655460:AMR655460 AWH655460:AWN655460 BGD655460:BGJ655460 BPZ655460:BQF655460 BZV655460:CAB655460 CJR655460:CJX655460 CTN655460:CTT655460 DDJ655460:DDP655460 DNF655460:DNL655460 DXB655460:DXH655460 EGX655460:EHD655460 EQT655460:EQZ655460 FAP655460:FAV655460 FKL655460:FKR655460 FUH655460:FUN655460 GED655460:GEJ655460 GNZ655460:GOF655460 GXV655460:GYB655460 HHR655460:HHX655460 HRN655460:HRT655460 IBJ655460:IBP655460 ILF655460:ILL655460 IVB655460:IVH655460 JEX655460:JFD655460 JOT655460:JOZ655460 JYP655460:JYV655460 KIL655460:KIR655460 KSH655460:KSN655460 LCD655460:LCJ655460 LLZ655460:LMF655460 LVV655460:LWB655460 MFR655460:MFX655460 MPN655460:MPT655460 MZJ655460:MZP655460 NJF655460:NJL655460 NTB655460:NTH655460 OCX655460:ODD655460 OMT655460:OMZ655460 OWP655460:OWV655460 PGL655460:PGR655460 PQH655460:PQN655460 QAD655460:QAJ655460 QJZ655460:QKF655460 QTV655460:QUB655460 RDR655460:RDX655460 RNN655460:RNT655460 RXJ655460:RXP655460 SHF655460:SHL655460 SRB655460:SRH655460 TAX655460:TBD655460 TKT655460:TKZ655460 TUP655460:TUV655460 UEL655460:UER655460 UOH655460:UON655460 UYD655460:UYJ655460 VHZ655460:VIF655460 VRV655460:VSB655460 WBR655460:WBX655460 WLN655460:WLT655460 WVJ655460:WVP655460 B720996:H720996 IX720996:JD720996 ST720996:SZ720996 ACP720996:ACV720996 AML720996:AMR720996 AWH720996:AWN720996 BGD720996:BGJ720996 BPZ720996:BQF720996 BZV720996:CAB720996 CJR720996:CJX720996 CTN720996:CTT720996 DDJ720996:DDP720996 DNF720996:DNL720996 DXB720996:DXH720996 EGX720996:EHD720996 EQT720996:EQZ720996 FAP720996:FAV720996 FKL720996:FKR720996 FUH720996:FUN720996 GED720996:GEJ720996 GNZ720996:GOF720996 GXV720996:GYB720996 HHR720996:HHX720996 HRN720996:HRT720996 IBJ720996:IBP720996 ILF720996:ILL720996 IVB720996:IVH720996 JEX720996:JFD720996 JOT720996:JOZ720996 JYP720996:JYV720996 KIL720996:KIR720996 KSH720996:KSN720996 LCD720996:LCJ720996 LLZ720996:LMF720996 LVV720996:LWB720996 MFR720996:MFX720996 MPN720996:MPT720996 MZJ720996:MZP720996 NJF720996:NJL720996 NTB720996:NTH720996 OCX720996:ODD720996 OMT720996:OMZ720996 OWP720996:OWV720996 PGL720996:PGR720996 PQH720996:PQN720996 QAD720996:QAJ720996 QJZ720996:QKF720996 QTV720996:QUB720996 RDR720996:RDX720996 RNN720996:RNT720996 RXJ720996:RXP720996 SHF720996:SHL720996 SRB720996:SRH720996 TAX720996:TBD720996 TKT720996:TKZ720996 TUP720996:TUV720996 UEL720996:UER720996 UOH720996:UON720996 UYD720996:UYJ720996 VHZ720996:VIF720996 VRV720996:VSB720996 WBR720996:WBX720996 WLN720996:WLT720996 WVJ720996:WVP720996 B786532:H786532 IX786532:JD786532 ST786532:SZ786532 ACP786532:ACV786532 AML786532:AMR786532 AWH786532:AWN786532 BGD786532:BGJ786532 BPZ786532:BQF786532 BZV786532:CAB786532 CJR786532:CJX786532 CTN786532:CTT786532 DDJ786532:DDP786532 DNF786532:DNL786532 DXB786532:DXH786532 EGX786532:EHD786532 EQT786532:EQZ786532 FAP786532:FAV786532 FKL786532:FKR786532 FUH786532:FUN786532 GED786532:GEJ786532 GNZ786532:GOF786532 GXV786532:GYB786532 HHR786532:HHX786532 HRN786532:HRT786532 IBJ786532:IBP786532 ILF786532:ILL786532 IVB786532:IVH786532 JEX786532:JFD786532 JOT786532:JOZ786532 JYP786532:JYV786532 KIL786532:KIR786532 KSH786532:KSN786532 LCD786532:LCJ786532 LLZ786532:LMF786532 LVV786532:LWB786532 MFR786532:MFX786532 MPN786532:MPT786532 MZJ786532:MZP786532 NJF786532:NJL786532 NTB786532:NTH786532 OCX786532:ODD786532 OMT786532:OMZ786532 OWP786532:OWV786532 PGL786532:PGR786532 PQH786532:PQN786532 QAD786532:QAJ786532 QJZ786532:QKF786532 QTV786532:QUB786532 RDR786532:RDX786532 RNN786532:RNT786532 RXJ786532:RXP786532 SHF786532:SHL786532 SRB786532:SRH786532 TAX786532:TBD786532 TKT786532:TKZ786532 TUP786532:TUV786532 UEL786532:UER786532 UOH786532:UON786532 UYD786532:UYJ786532 VHZ786532:VIF786532 VRV786532:VSB786532 WBR786532:WBX786532 WLN786532:WLT786532 WVJ786532:WVP786532 B852068:H852068 IX852068:JD852068 ST852068:SZ852068 ACP852068:ACV852068 AML852068:AMR852068 AWH852068:AWN852068 BGD852068:BGJ852068 BPZ852068:BQF852068 BZV852068:CAB852068 CJR852068:CJX852068 CTN852068:CTT852068 DDJ852068:DDP852068 DNF852068:DNL852068 DXB852068:DXH852068 EGX852068:EHD852068 EQT852068:EQZ852068 FAP852068:FAV852068 FKL852068:FKR852068 FUH852068:FUN852068 GED852068:GEJ852068 GNZ852068:GOF852068 GXV852068:GYB852068 HHR852068:HHX852068 HRN852068:HRT852068 IBJ852068:IBP852068 ILF852068:ILL852068 IVB852068:IVH852068 JEX852068:JFD852068 JOT852068:JOZ852068 JYP852068:JYV852068 KIL852068:KIR852068 KSH852068:KSN852068 LCD852068:LCJ852068 LLZ852068:LMF852068 LVV852068:LWB852068 MFR852068:MFX852068 MPN852068:MPT852068 MZJ852068:MZP852068 NJF852068:NJL852068 NTB852068:NTH852068 OCX852068:ODD852068 OMT852068:OMZ852068 OWP852068:OWV852068 PGL852068:PGR852068 PQH852068:PQN852068 QAD852068:QAJ852068 QJZ852068:QKF852068 QTV852068:QUB852068 RDR852068:RDX852068 RNN852068:RNT852068 RXJ852068:RXP852068 SHF852068:SHL852068 SRB852068:SRH852068 TAX852068:TBD852068 TKT852068:TKZ852068 TUP852068:TUV852068 UEL852068:UER852068 UOH852068:UON852068 UYD852068:UYJ852068 VHZ852068:VIF852068 VRV852068:VSB852068 WBR852068:WBX852068 WLN852068:WLT852068 WVJ852068:WVP852068 B917604:H917604 IX917604:JD917604 ST917604:SZ917604 ACP917604:ACV917604 AML917604:AMR917604 AWH917604:AWN917604 BGD917604:BGJ917604 BPZ917604:BQF917604 BZV917604:CAB917604 CJR917604:CJX917604 CTN917604:CTT917604 DDJ917604:DDP917604 DNF917604:DNL917604 DXB917604:DXH917604 EGX917604:EHD917604 EQT917604:EQZ917604 FAP917604:FAV917604 FKL917604:FKR917604 FUH917604:FUN917604 GED917604:GEJ917604 GNZ917604:GOF917604 GXV917604:GYB917604 HHR917604:HHX917604 HRN917604:HRT917604 IBJ917604:IBP917604 ILF917604:ILL917604 IVB917604:IVH917604 JEX917604:JFD917604 JOT917604:JOZ917604 JYP917604:JYV917604 KIL917604:KIR917604 KSH917604:KSN917604 LCD917604:LCJ917604 LLZ917604:LMF917604 LVV917604:LWB917604 MFR917604:MFX917604 MPN917604:MPT917604 MZJ917604:MZP917604 NJF917604:NJL917604 NTB917604:NTH917604 OCX917604:ODD917604 OMT917604:OMZ917604 OWP917604:OWV917604 PGL917604:PGR917604 PQH917604:PQN917604 QAD917604:QAJ917604 QJZ917604:QKF917604 QTV917604:QUB917604 RDR917604:RDX917604 RNN917604:RNT917604 RXJ917604:RXP917604 SHF917604:SHL917604 SRB917604:SRH917604 TAX917604:TBD917604 TKT917604:TKZ917604 TUP917604:TUV917604 UEL917604:UER917604 UOH917604:UON917604 UYD917604:UYJ917604 VHZ917604:VIF917604 VRV917604:VSB917604 WBR917604:WBX917604 WLN917604:WLT917604 WVJ917604:WVP917604 B983140:H983140 IX983140:JD983140 ST983140:SZ983140 ACP983140:ACV983140 AML983140:AMR983140 AWH983140:AWN983140 BGD983140:BGJ983140 BPZ983140:BQF983140 BZV983140:CAB983140 CJR983140:CJX983140 CTN983140:CTT983140 DDJ983140:DDP983140 DNF983140:DNL983140 DXB983140:DXH983140 EGX983140:EHD983140 EQT983140:EQZ983140 FAP983140:FAV983140 FKL983140:FKR983140 FUH983140:FUN983140 GED983140:GEJ983140 GNZ983140:GOF983140 GXV983140:GYB983140 HHR983140:HHX983140 HRN983140:HRT983140 IBJ983140:IBP983140 ILF983140:ILL983140 IVB983140:IVH983140 JEX983140:JFD983140 JOT983140:JOZ983140 JYP983140:JYV983140 KIL983140:KIR983140 KSH983140:KSN983140 LCD983140:LCJ983140 LLZ983140:LMF983140 LVV983140:LWB983140 MFR983140:MFX983140 MPN983140:MPT983140 MZJ983140:MZP983140 NJF983140:NJL983140 NTB983140:NTH983140 OCX983140:ODD983140 OMT983140:OMZ983140 OWP983140:OWV983140 PGL983140:PGR983140 PQH983140:PQN983140 QAD983140:QAJ983140 QJZ983140:QKF983140 QTV983140:QUB983140 RDR983140:RDX983140 RNN983140:RNT983140 RXJ983140:RXP983140 SHF983140:SHL983140 SRB983140:SRH983140 TAX983140:TBD983140 TKT983140:TKZ983140 TUP983140:TUV983140 UEL983140:UER983140 UOH983140:UON983140 UYD983140:UYJ983140 VHZ983140:VIF983140 VRV983140:VSB983140 WBR983140:WBX983140 WLN983140:WLT983140 WVJ983140:WVP983140 B116:H116 IX116:JD116 ST116:SZ116 ACP116:ACV116 AML116:AMR116 AWH116:AWN116 BGD116:BGJ116 BPZ116:BQF116 BZV116:CAB116 CJR116:CJX116 CTN116:CTT116 DDJ116:DDP116 DNF116:DNL116 DXB116:DXH116 EGX116:EHD116 EQT116:EQZ116 FAP116:FAV116 FKL116:FKR116 FUH116:FUN116 GED116:GEJ116 GNZ116:GOF116 GXV116:GYB116 HHR116:HHX116 HRN116:HRT116 IBJ116:IBP116 ILF116:ILL116 IVB116:IVH116 JEX116:JFD116 JOT116:JOZ116 JYP116:JYV116 KIL116:KIR116 KSH116:KSN116 LCD116:LCJ116 LLZ116:LMF116 LVV116:LWB116 MFR116:MFX116 MPN116:MPT116 MZJ116:MZP116 NJF116:NJL116 NTB116:NTH116 OCX116:ODD116 OMT116:OMZ116 OWP116:OWV116 PGL116:PGR116 PQH116:PQN116 QAD116:QAJ116 QJZ116:QKF116 QTV116:QUB116 RDR116:RDX116 RNN116:RNT116 RXJ116:RXP116 SHF116:SHL116 SRB116:SRH116 TAX116:TBD116 TKT116:TKZ116 TUP116:TUV116 UEL116:UER116 UOH116:UON116 UYD116:UYJ116 VHZ116:VIF116 VRV116:VSB116 WBR116:WBX116 WLN116:WLT116 WVJ116:WVP116 B65652:H65652 IX65652:JD65652 ST65652:SZ65652 ACP65652:ACV65652 AML65652:AMR65652 AWH65652:AWN65652 BGD65652:BGJ65652 BPZ65652:BQF65652 BZV65652:CAB65652 CJR65652:CJX65652 CTN65652:CTT65652 DDJ65652:DDP65652 DNF65652:DNL65652 DXB65652:DXH65652 EGX65652:EHD65652 EQT65652:EQZ65652 FAP65652:FAV65652 FKL65652:FKR65652 FUH65652:FUN65652 GED65652:GEJ65652 GNZ65652:GOF65652 GXV65652:GYB65652 HHR65652:HHX65652 HRN65652:HRT65652 IBJ65652:IBP65652 ILF65652:ILL65652 IVB65652:IVH65652 JEX65652:JFD65652 JOT65652:JOZ65652 JYP65652:JYV65652 KIL65652:KIR65652 KSH65652:KSN65652 LCD65652:LCJ65652 LLZ65652:LMF65652 LVV65652:LWB65652 MFR65652:MFX65652 MPN65652:MPT65652 MZJ65652:MZP65652 NJF65652:NJL65652 NTB65652:NTH65652 OCX65652:ODD65652 OMT65652:OMZ65652 OWP65652:OWV65652 PGL65652:PGR65652 PQH65652:PQN65652 QAD65652:QAJ65652 QJZ65652:QKF65652 QTV65652:QUB65652 RDR65652:RDX65652 RNN65652:RNT65652 RXJ65652:RXP65652 SHF65652:SHL65652 SRB65652:SRH65652 TAX65652:TBD65652 TKT65652:TKZ65652 TUP65652:TUV65652 UEL65652:UER65652 UOH65652:UON65652 UYD65652:UYJ65652 VHZ65652:VIF65652 VRV65652:VSB65652 WBR65652:WBX65652 WLN65652:WLT65652 WVJ65652:WVP65652 B131188:H131188 IX131188:JD131188 ST131188:SZ131188 ACP131188:ACV131188 AML131188:AMR131188 AWH131188:AWN131188 BGD131188:BGJ131188 BPZ131188:BQF131188 BZV131188:CAB131188 CJR131188:CJX131188 CTN131188:CTT131188 DDJ131188:DDP131188 DNF131188:DNL131188 DXB131188:DXH131188 EGX131188:EHD131188 EQT131188:EQZ131188 FAP131188:FAV131188 FKL131188:FKR131188 FUH131188:FUN131188 GED131188:GEJ131188 GNZ131188:GOF131188 GXV131188:GYB131188 HHR131188:HHX131188 HRN131188:HRT131188 IBJ131188:IBP131188 ILF131188:ILL131188 IVB131188:IVH131188 JEX131188:JFD131188 JOT131188:JOZ131188 JYP131188:JYV131188 KIL131188:KIR131188 KSH131188:KSN131188 LCD131188:LCJ131188 LLZ131188:LMF131188 LVV131188:LWB131188 MFR131188:MFX131188 MPN131188:MPT131188 MZJ131188:MZP131188 NJF131188:NJL131188 NTB131188:NTH131188 OCX131188:ODD131188 OMT131188:OMZ131188 OWP131188:OWV131188 PGL131188:PGR131188 PQH131188:PQN131188 QAD131188:QAJ131188 QJZ131188:QKF131188 QTV131188:QUB131188 RDR131188:RDX131188 RNN131188:RNT131188 RXJ131188:RXP131188 SHF131188:SHL131188 SRB131188:SRH131188 TAX131188:TBD131188 TKT131188:TKZ131188 TUP131188:TUV131188 UEL131188:UER131188 UOH131188:UON131188 UYD131188:UYJ131188 VHZ131188:VIF131188 VRV131188:VSB131188 WBR131188:WBX131188 WLN131188:WLT131188 WVJ131188:WVP131188 B196724:H196724 IX196724:JD196724 ST196724:SZ196724 ACP196724:ACV196724 AML196724:AMR196724 AWH196724:AWN196724 BGD196724:BGJ196724 BPZ196724:BQF196724 BZV196724:CAB196724 CJR196724:CJX196724 CTN196724:CTT196724 DDJ196724:DDP196724 DNF196724:DNL196724 DXB196724:DXH196724 EGX196724:EHD196724 EQT196724:EQZ196724 FAP196724:FAV196724 FKL196724:FKR196724 FUH196724:FUN196724 GED196724:GEJ196724 GNZ196724:GOF196724 GXV196724:GYB196724 HHR196724:HHX196724 HRN196724:HRT196724 IBJ196724:IBP196724 ILF196724:ILL196724 IVB196724:IVH196724 JEX196724:JFD196724 JOT196724:JOZ196724 JYP196724:JYV196724 KIL196724:KIR196724 KSH196724:KSN196724 LCD196724:LCJ196724 LLZ196724:LMF196724 LVV196724:LWB196724 MFR196724:MFX196724 MPN196724:MPT196724 MZJ196724:MZP196724 NJF196724:NJL196724 NTB196724:NTH196724 OCX196724:ODD196724 OMT196724:OMZ196724 OWP196724:OWV196724 PGL196724:PGR196724 PQH196724:PQN196724 QAD196724:QAJ196724 QJZ196724:QKF196724 QTV196724:QUB196724 RDR196724:RDX196724 RNN196724:RNT196724 RXJ196724:RXP196724 SHF196724:SHL196724 SRB196724:SRH196724 TAX196724:TBD196724 TKT196724:TKZ196724 TUP196724:TUV196724 UEL196724:UER196724 UOH196724:UON196724 UYD196724:UYJ196724 VHZ196724:VIF196724 VRV196724:VSB196724 WBR196724:WBX196724 WLN196724:WLT196724 WVJ196724:WVP196724 B262260:H262260 IX262260:JD262260 ST262260:SZ262260 ACP262260:ACV262260 AML262260:AMR262260 AWH262260:AWN262260 BGD262260:BGJ262260 BPZ262260:BQF262260 BZV262260:CAB262260 CJR262260:CJX262260 CTN262260:CTT262260 DDJ262260:DDP262260 DNF262260:DNL262260 DXB262260:DXH262260 EGX262260:EHD262260 EQT262260:EQZ262260 FAP262260:FAV262260 FKL262260:FKR262260 FUH262260:FUN262260 GED262260:GEJ262260 GNZ262260:GOF262260 GXV262260:GYB262260 HHR262260:HHX262260 HRN262260:HRT262260 IBJ262260:IBP262260 ILF262260:ILL262260 IVB262260:IVH262260 JEX262260:JFD262260 JOT262260:JOZ262260 JYP262260:JYV262260 KIL262260:KIR262260 KSH262260:KSN262260 LCD262260:LCJ262260 LLZ262260:LMF262260 LVV262260:LWB262260 MFR262260:MFX262260 MPN262260:MPT262260 MZJ262260:MZP262260 NJF262260:NJL262260 NTB262260:NTH262260 OCX262260:ODD262260 OMT262260:OMZ262260 OWP262260:OWV262260 PGL262260:PGR262260 PQH262260:PQN262260 QAD262260:QAJ262260 QJZ262260:QKF262260 QTV262260:QUB262260 RDR262260:RDX262260 RNN262260:RNT262260 RXJ262260:RXP262260 SHF262260:SHL262260 SRB262260:SRH262260 TAX262260:TBD262260 TKT262260:TKZ262260 TUP262260:TUV262260 UEL262260:UER262260 UOH262260:UON262260 UYD262260:UYJ262260 VHZ262260:VIF262260 VRV262260:VSB262260 WBR262260:WBX262260 WLN262260:WLT262260 WVJ262260:WVP262260 B327796:H327796 IX327796:JD327796 ST327796:SZ327796 ACP327796:ACV327796 AML327796:AMR327796 AWH327796:AWN327796 BGD327796:BGJ327796 BPZ327796:BQF327796 BZV327796:CAB327796 CJR327796:CJX327796 CTN327796:CTT327796 DDJ327796:DDP327796 DNF327796:DNL327796 DXB327796:DXH327796 EGX327796:EHD327796 EQT327796:EQZ327796 FAP327796:FAV327796 FKL327796:FKR327796 FUH327796:FUN327796 GED327796:GEJ327796 GNZ327796:GOF327796 GXV327796:GYB327796 HHR327796:HHX327796 HRN327796:HRT327796 IBJ327796:IBP327796 ILF327796:ILL327796 IVB327796:IVH327796 JEX327796:JFD327796 JOT327796:JOZ327796 JYP327796:JYV327796 KIL327796:KIR327796 KSH327796:KSN327796 LCD327796:LCJ327796 LLZ327796:LMF327796 LVV327796:LWB327796 MFR327796:MFX327796 MPN327796:MPT327796 MZJ327796:MZP327796 NJF327796:NJL327796 NTB327796:NTH327796 OCX327796:ODD327796 OMT327796:OMZ327796 OWP327796:OWV327796 PGL327796:PGR327796 PQH327796:PQN327796 QAD327796:QAJ327796 QJZ327796:QKF327796 QTV327796:QUB327796 RDR327796:RDX327796 RNN327796:RNT327796 RXJ327796:RXP327796 SHF327796:SHL327796 SRB327796:SRH327796 TAX327796:TBD327796 TKT327796:TKZ327796 TUP327796:TUV327796 UEL327796:UER327796 UOH327796:UON327796 UYD327796:UYJ327796 VHZ327796:VIF327796 VRV327796:VSB327796 WBR327796:WBX327796 WLN327796:WLT327796 WVJ327796:WVP327796 B393332:H393332 IX393332:JD393332 ST393332:SZ393332 ACP393332:ACV393332 AML393332:AMR393332 AWH393332:AWN393332 BGD393332:BGJ393332 BPZ393332:BQF393332 BZV393332:CAB393332 CJR393332:CJX393332 CTN393332:CTT393332 DDJ393332:DDP393332 DNF393332:DNL393332 DXB393332:DXH393332 EGX393332:EHD393332 EQT393332:EQZ393332 FAP393332:FAV393332 FKL393332:FKR393332 FUH393332:FUN393332 GED393332:GEJ393332 GNZ393332:GOF393332 GXV393332:GYB393332 HHR393332:HHX393332 HRN393332:HRT393332 IBJ393332:IBP393332 ILF393332:ILL393332 IVB393332:IVH393332 JEX393332:JFD393332 JOT393332:JOZ393332 JYP393332:JYV393332 KIL393332:KIR393332 KSH393332:KSN393332 LCD393332:LCJ393332 LLZ393332:LMF393332 LVV393332:LWB393332 MFR393332:MFX393332 MPN393332:MPT393332 MZJ393332:MZP393332 NJF393332:NJL393332 NTB393332:NTH393332 OCX393332:ODD393332 OMT393332:OMZ393332 OWP393332:OWV393332 PGL393332:PGR393332 PQH393332:PQN393332 QAD393332:QAJ393332 QJZ393332:QKF393332 QTV393332:QUB393332 RDR393332:RDX393332 RNN393332:RNT393332 RXJ393332:RXP393332 SHF393332:SHL393332 SRB393332:SRH393332 TAX393332:TBD393332 TKT393332:TKZ393332 TUP393332:TUV393332 UEL393332:UER393332 UOH393332:UON393332 UYD393332:UYJ393332 VHZ393332:VIF393332 VRV393332:VSB393332 WBR393332:WBX393332 WLN393332:WLT393332 WVJ393332:WVP393332 B458868:H458868 IX458868:JD458868 ST458868:SZ458868 ACP458868:ACV458868 AML458868:AMR458868 AWH458868:AWN458868 BGD458868:BGJ458868 BPZ458868:BQF458868 BZV458868:CAB458868 CJR458868:CJX458868 CTN458868:CTT458868 DDJ458868:DDP458868 DNF458868:DNL458868 DXB458868:DXH458868 EGX458868:EHD458868 EQT458868:EQZ458868 FAP458868:FAV458868 FKL458868:FKR458868 FUH458868:FUN458868 GED458868:GEJ458868 GNZ458868:GOF458868 GXV458868:GYB458868 HHR458868:HHX458868 HRN458868:HRT458868 IBJ458868:IBP458868 ILF458868:ILL458868 IVB458868:IVH458868 JEX458868:JFD458868 JOT458868:JOZ458868 JYP458868:JYV458868 KIL458868:KIR458868 KSH458868:KSN458868 LCD458868:LCJ458868 LLZ458868:LMF458868 LVV458868:LWB458868 MFR458868:MFX458868 MPN458868:MPT458868 MZJ458868:MZP458868 NJF458868:NJL458868 NTB458868:NTH458868 OCX458868:ODD458868 OMT458868:OMZ458868 OWP458868:OWV458868 PGL458868:PGR458868 PQH458868:PQN458868 QAD458868:QAJ458868 QJZ458868:QKF458868 QTV458868:QUB458868 RDR458868:RDX458868 RNN458868:RNT458868 RXJ458868:RXP458868 SHF458868:SHL458868 SRB458868:SRH458868 TAX458868:TBD458868 TKT458868:TKZ458868 TUP458868:TUV458868 UEL458868:UER458868 UOH458868:UON458868 UYD458868:UYJ458868 VHZ458868:VIF458868 VRV458868:VSB458868 WBR458868:WBX458868 WLN458868:WLT458868 WVJ458868:WVP458868 B524404:H524404 IX524404:JD524404 ST524404:SZ524404 ACP524404:ACV524404 AML524404:AMR524404 AWH524404:AWN524404 BGD524404:BGJ524404 BPZ524404:BQF524404 BZV524404:CAB524404 CJR524404:CJX524404 CTN524404:CTT524404 DDJ524404:DDP524404 DNF524404:DNL524404 DXB524404:DXH524404 EGX524404:EHD524404 EQT524404:EQZ524404 FAP524404:FAV524404 FKL524404:FKR524404 FUH524404:FUN524404 GED524404:GEJ524404 GNZ524404:GOF524404 GXV524404:GYB524404 HHR524404:HHX524404 HRN524404:HRT524404 IBJ524404:IBP524404 ILF524404:ILL524404 IVB524404:IVH524404 JEX524404:JFD524404 JOT524404:JOZ524404 JYP524404:JYV524404 KIL524404:KIR524404 KSH524404:KSN524404 LCD524404:LCJ524404 LLZ524404:LMF524404 LVV524404:LWB524404 MFR524404:MFX524404 MPN524404:MPT524404 MZJ524404:MZP524404 NJF524404:NJL524404 NTB524404:NTH524404 OCX524404:ODD524404 OMT524404:OMZ524404 OWP524404:OWV524404 PGL524404:PGR524404 PQH524404:PQN524404 QAD524404:QAJ524404 QJZ524404:QKF524404 QTV524404:QUB524404 RDR524404:RDX524404 RNN524404:RNT524404 RXJ524404:RXP524404 SHF524404:SHL524404 SRB524404:SRH524404 TAX524404:TBD524404 TKT524404:TKZ524404 TUP524404:TUV524404 UEL524404:UER524404 UOH524404:UON524404 UYD524404:UYJ524404 VHZ524404:VIF524404 VRV524404:VSB524404 WBR524404:WBX524404 WLN524404:WLT524404 WVJ524404:WVP524404 B589940:H589940 IX589940:JD589940 ST589940:SZ589940 ACP589940:ACV589940 AML589940:AMR589940 AWH589940:AWN589940 BGD589940:BGJ589940 BPZ589940:BQF589940 BZV589940:CAB589940 CJR589940:CJX589940 CTN589940:CTT589940 DDJ589940:DDP589940 DNF589940:DNL589940 DXB589940:DXH589940 EGX589940:EHD589940 EQT589940:EQZ589940 FAP589940:FAV589940 FKL589940:FKR589940 FUH589940:FUN589940 GED589940:GEJ589940 GNZ589940:GOF589940 GXV589940:GYB589940 HHR589940:HHX589940 HRN589940:HRT589940 IBJ589940:IBP589940 ILF589940:ILL589940 IVB589940:IVH589940 JEX589940:JFD589940 JOT589940:JOZ589940 JYP589940:JYV589940 KIL589940:KIR589940 KSH589940:KSN589940 LCD589940:LCJ589940 LLZ589940:LMF589940 LVV589940:LWB589940 MFR589940:MFX589940 MPN589940:MPT589940 MZJ589940:MZP589940 NJF589940:NJL589940 NTB589940:NTH589940 OCX589940:ODD589940 OMT589940:OMZ589940 OWP589940:OWV589940 PGL589940:PGR589940 PQH589940:PQN589940 QAD589940:QAJ589940 QJZ589940:QKF589940 QTV589940:QUB589940 RDR589940:RDX589940 RNN589940:RNT589940 RXJ589940:RXP589940 SHF589940:SHL589940 SRB589940:SRH589940 TAX589940:TBD589940 TKT589940:TKZ589940 TUP589940:TUV589940 UEL589940:UER589940 UOH589940:UON589940 UYD589940:UYJ589940 VHZ589940:VIF589940 VRV589940:VSB589940 WBR589940:WBX589940 WLN589940:WLT589940 WVJ589940:WVP589940 B655476:H655476 IX655476:JD655476 ST655476:SZ655476 ACP655476:ACV655476 AML655476:AMR655476 AWH655476:AWN655476 BGD655476:BGJ655476 BPZ655476:BQF655476 BZV655476:CAB655476 CJR655476:CJX655476 CTN655476:CTT655476 DDJ655476:DDP655476 DNF655476:DNL655476 DXB655476:DXH655476 EGX655476:EHD655476 EQT655476:EQZ655476 FAP655476:FAV655476 FKL655476:FKR655476 FUH655476:FUN655476 GED655476:GEJ655476 GNZ655476:GOF655476 GXV655476:GYB655476 HHR655476:HHX655476 HRN655476:HRT655476 IBJ655476:IBP655476 ILF655476:ILL655476 IVB655476:IVH655476 JEX655476:JFD655476 JOT655476:JOZ655476 JYP655476:JYV655476 KIL655476:KIR655476 KSH655476:KSN655476 LCD655476:LCJ655476 LLZ655476:LMF655476 LVV655476:LWB655476 MFR655476:MFX655476 MPN655476:MPT655476 MZJ655476:MZP655476 NJF655476:NJL655476 NTB655476:NTH655476 OCX655476:ODD655476 OMT655476:OMZ655476 OWP655476:OWV655476 PGL655476:PGR655476 PQH655476:PQN655476 QAD655476:QAJ655476 QJZ655476:QKF655476 QTV655476:QUB655476 RDR655476:RDX655476 RNN655476:RNT655476 RXJ655476:RXP655476 SHF655476:SHL655476 SRB655476:SRH655476 TAX655476:TBD655476 TKT655476:TKZ655476 TUP655476:TUV655476 UEL655476:UER655476 UOH655476:UON655476 UYD655476:UYJ655476 VHZ655476:VIF655476 VRV655476:VSB655476 WBR655476:WBX655476 WLN655476:WLT655476 WVJ655476:WVP655476 B721012:H721012 IX721012:JD721012 ST721012:SZ721012 ACP721012:ACV721012 AML721012:AMR721012 AWH721012:AWN721012 BGD721012:BGJ721012 BPZ721012:BQF721012 BZV721012:CAB721012 CJR721012:CJX721012 CTN721012:CTT721012 DDJ721012:DDP721012 DNF721012:DNL721012 DXB721012:DXH721012 EGX721012:EHD721012 EQT721012:EQZ721012 FAP721012:FAV721012 FKL721012:FKR721012 FUH721012:FUN721012 GED721012:GEJ721012 GNZ721012:GOF721012 GXV721012:GYB721012 HHR721012:HHX721012 HRN721012:HRT721012 IBJ721012:IBP721012 ILF721012:ILL721012 IVB721012:IVH721012 JEX721012:JFD721012 JOT721012:JOZ721012 JYP721012:JYV721012 KIL721012:KIR721012 KSH721012:KSN721012 LCD721012:LCJ721012 LLZ721012:LMF721012 LVV721012:LWB721012 MFR721012:MFX721012 MPN721012:MPT721012 MZJ721012:MZP721012 NJF721012:NJL721012 NTB721012:NTH721012 OCX721012:ODD721012 OMT721012:OMZ721012 OWP721012:OWV721012 PGL721012:PGR721012 PQH721012:PQN721012 QAD721012:QAJ721012 QJZ721012:QKF721012 QTV721012:QUB721012 RDR721012:RDX721012 RNN721012:RNT721012 RXJ721012:RXP721012 SHF721012:SHL721012 SRB721012:SRH721012 TAX721012:TBD721012 TKT721012:TKZ721012 TUP721012:TUV721012 UEL721012:UER721012 UOH721012:UON721012 UYD721012:UYJ721012 VHZ721012:VIF721012 VRV721012:VSB721012 WBR721012:WBX721012 WLN721012:WLT721012 WVJ721012:WVP721012 B786548:H786548 IX786548:JD786548 ST786548:SZ786548 ACP786548:ACV786548 AML786548:AMR786548 AWH786548:AWN786548 BGD786548:BGJ786548 BPZ786548:BQF786548 BZV786548:CAB786548 CJR786548:CJX786548 CTN786548:CTT786548 DDJ786548:DDP786548 DNF786548:DNL786548 DXB786548:DXH786548 EGX786548:EHD786548 EQT786548:EQZ786548 FAP786548:FAV786548 FKL786548:FKR786548 FUH786548:FUN786548 GED786548:GEJ786548 GNZ786548:GOF786548 GXV786548:GYB786548 HHR786548:HHX786548 HRN786548:HRT786548 IBJ786548:IBP786548 ILF786548:ILL786548 IVB786548:IVH786548 JEX786548:JFD786548 JOT786548:JOZ786548 JYP786548:JYV786548 KIL786548:KIR786548 KSH786548:KSN786548 LCD786548:LCJ786548 LLZ786548:LMF786548 LVV786548:LWB786548 MFR786548:MFX786548 MPN786548:MPT786548 MZJ786548:MZP786548 NJF786548:NJL786548 NTB786548:NTH786548 OCX786548:ODD786548 OMT786548:OMZ786548 OWP786548:OWV786548 PGL786548:PGR786548 PQH786548:PQN786548 QAD786548:QAJ786548 QJZ786548:QKF786548 QTV786548:QUB786548 RDR786548:RDX786548 RNN786548:RNT786548 RXJ786548:RXP786548 SHF786548:SHL786548 SRB786548:SRH786548 TAX786548:TBD786548 TKT786548:TKZ786548 TUP786548:TUV786548 UEL786548:UER786548 UOH786548:UON786548 UYD786548:UYJ786548 VHZ786548:VIF786548 VRV786548:VSB786548 WBR786548:WBX786548 WLN786548:WLT786548 WVJ786548:WVP786548 B852084:H852084 IX852084:JD852084 ST852084:SZ852084 ACP852084:ACV852084 AML852084:AMR852084 AWH852084:AWN852084 BGD852084:BGJ852084 BPZ852084:BQF852084 BZV852084:CAB852084 CJR852084:CJX852084 CTN852084:CTT852084 DDJ852084:DDP852084 DNF852084:DNL852084 DXB852084:DXH852084 EGX852084:EHD852084 EQT852084:EQZ852084 FAP852084:FAV852084 FKL852084:FKR852084 FUH852084:FUN852084 GED852084:GEJ852084 GNZ852084:GOF852084 GXV852084:GYB852084 HHR852084:HHX852084 HRN852084:HRT852084 IBJ852084:IBP852084 ILF852084:ILL852084 IVB852084:IVH852084 JEX852084:JFD852084 JOT852084:JOZ852084 JYP852084:JYV852084 KIL852084:KIR852084 KSH852084:KSN852084 LCD852084:LCJ852084 LLZ852084:LMF852084 LVV852084:LWB852084 MFR852084:MFX852084 MPN852084:MPT852084 MZJ852084:MZP852084 NJF852084:NJL852084 NTB852084:NTH852084 OCX852084:ODD852084 OMT852084:OMZ852084 OWP852084:OWV852084 PGL852084:PGR852084 PQH852084:PQN852084 QAD852084:QAJ852084 QJZ852084:QKF852084 QTV852084:QUB852084 RDR852084:RDX852084 RNN852084:RNT852084 RXJ852084:RXP852084 SHF852084:SHL852084 SRB852084:SRH852084 TAX852084:TBD852084 TKT852084:TKZ852084 TUP852084:TUV852084 UEL852084:UER852084 UOH852084:UON852084 UYD852084:UYJ852084 VHZ852084:VIF852084 VRV852084:VSB852084 WBR852084:WBX852084 WLN852084:WLT852084 WVJ852084:WVP852084 B917620:H917620 IX917620:JD917620 ST917620:SZ917620 ACP917620:ACV917620 AML917620:AMR917620 AWH917620:AWN917620 BGD917620:BGJ917620 BPZ917620:BQF917620 BZV917620:CAB917620 CJR917620:CJX917620 CTN917620:CTT917620 DDJ917620:DDP917620 DNF917620:DNL917620 DXB917620:DXH917620 EGX917620:EHD917620 EQT917620:EQZ917620 FAP917620:FAV917620 FKL917620:FKR917620 FUH917620:FUN917620 GED917620:GEJ917620 GNZ917620:GOF917620 GXV917620:GYB917620 HHR917620:HHX917620 HRN917620:HRT917620 IBJ917620:IBP917620 ILF917620:ILL917620 IVB917620:IVH917620 JEX917620:JFD917620 JOT917620:JOZ917620 JYP917620:JYV917620 KIL917620:KIR917620 KSH917620:KSN917620 LCD917620:LCJ917620 LLZ917620:LMF917620 LVV917620:LWB917620 MFR917620:MFX917620 MPN917620:MPT917620 MZJ917620:MZP917620 NJF917620:NJL917620 NTB917620:NTH917620 OCX917620:ODD917620 OMT917620:OMZ917620 OWP917620:OWV917620 PGL917620:PGR917620 PQH917620:PQN917620 QAD917620:QAJ917620 QJZ917620:QKF917620 QTV917620:QUB917620 RDR917620:RDX917620 RNN917620:RNT917620 RXJ917620:RXP917620 SHF917620:SHL917620 SRB917620:SRH917620 TAX917620:TBD917620 TKT917620:TKZ917620 TUP917620:TUV917620 UEL917620:UER917620 UOH917620:UON917620 UYD917620:UYJ917620 VHZ917620:VIF917620 VRV917620:VSB917620 WBR917620:WBX917620 WLN917620:WLT917620 WVJ917620:WVP917620 B983156:H983156 IX983156:JD983156 ST983156:SZ983156 ACP983156:ACV983156 AML983156:AMR983156 AWH983156:AWN983156 BGD983156:BGJ983156 BPZ983156:BQF983156 BZV983156:CAB983156 CJR983156:CJX983156 CTN983156:CTT983156 DDJ983156:DDP983156 DNF983156:DNL983156 DXB983156:DXH983156 EGX983156:EHD983156 EQT983156:EQZ983156 FAP983156:FAV983156 FKL983156:FKR983156 FUH983156:FUN983156 GED983156:GEJ983156 GNZ983156:GOF983156 GXV983156:GYB983156 HHR983156:HHX983156 HRN983156:HRT983156 IBJ983156:IBP983156 ILF983156:ILL983156 IVB983156:IVH983156 JEX983156:JFD983156 JOT983156:JOZ983156 JYP983156:JYV983156 KIL983156:KIR983156 KSH983156:KSN983156 LCD983156:LCJ983156 LLZ983156:LMF983156 LVV983156:LWB983156 MFR983156:MFX983156 MPN983156:MPT983156 MZJ983156:MZP983156 NJF983156:NJL983156 NTB983156:NTH983156 OCX983156:ODD983156 OMT983156:OMZ983156 OWP983156:OWV983156 PGL983156:PGR983156 PQH983156:PQN983156 QAD983156:QAJ983156 QJZ983156:QKF983156 QTV983156:QUB983156 RDR983156:RDX983156 RNN983156:RNT983156 RXJ983156:RXP983156 SHF983156:SHL983156 SRB983156:SRH983156 TAX983156:TBD983156 TKT983156:TKZ983156 TUP983156:TUV983156 UEL983156:UER983156 UOH983156:UON983156 UYD983156:UYJ983156 VHZ983156:VIF983156 VRV983156:VSB983156 WBR983156:WBX983156 WLN983156:WLT983156 WVJ983156:WVP983156 B132:H132 IX132:JD132 ST132:SZ132 ACP132:ACV132 AML132:AMR132 AWH132:AWN132 BGD132:BGJ132 BPZ132:BQF132 BZV132:CAB132 CJR132:CJX132 CTN132:CTT132 DDJ132:DDP132 DNF132:DNL132 DXB132:DXH132 EGX132:EHD132 EQT132:EQZ132 FAP132:FAV132 FKL132:FKR132 FUH132:FUN132 GED132:GEJ132 GNZ132:GOF132 GXV132:GYB132 HHR132:HHX132 HRN132:HRT132 IBJ132:IBP132 ILF132:ILL132 IVB132:IVH132 JEX132:JFD132 JOT132:JOZ132 JYP132:JYV132 KIL132:KIR132 KSH132:KSN132 LCD132:LCJ132 LLZ132:LMF132 LVV132:LWB132 MFR132:MFX132 MPN132:MPT132 MZJ132:MZP132 NJF132:NJL132 NTB132:NTH132 OCX132:ODD132 OMT132:OMZ132 OWP132:OWV132 PGL132:PGR132 PQH132:PQN132 QAD132:QAJ132 QJZ132:QKF132 QTV132:QUB132 RDR132:RDX132 RNN132:RNT132 RXJ132:RXP132 SHF132:SHL132 SRB132:SRH132 TAX132:TBD132 TKT132:TKZ132 TUP132:TUV132 UEL132:UER132 UOH132:UON132 UYD132:UYJ132 VHZ132:VIF132 VRV132:VSB132 WBR132:WBX132 WLN132:WLT132 WVJ132:WVP132 B65668:H65668 IX65668:JD65668 ST65668:SZ65668 ACP65668:ACV65668 AML65668:AMR65668 AWH65668:AWN65668 BGD65668:BGJ65668 BPZ65668:BQF65668 BZV65668:CAB65668 CJR65668:CJX65668 CTN65668:CTT65668 DDJ65668:DDP65668 DNF65668:DNL65668 DXB65668:DXH65668 EGX65668:EHD65668 EQT65668:EQZ65668 FAP65668:FAV65668 FKL65668:FKR65668 FUH65668:FUN65668 GED65668:GEJ65668 GNZ65668:GOF65668 GXV65668:GYB65668 HHR65668:HHX65668 HRN65668:HRT65668 IBJ65668:IBP65668 ILF65668:ILL65668 IVB65668:IVH65668 JEX65668:JFD65668 JOT65668:JOZ65668 JYP65668:JYV65668 KIL65668:KIR65668 KSH65668:KSN65668 LCD65668:LCJ65668 LLZ65668:LMF65668 LVV65668:LWB65668 MFR65668:MFX65668 MPN65668:MPT65668 MZJ65668:MZP65668 NJF65668:NJL65668 NTB65668:NTH65668 OCX65668:ODD65668 OMT65668:OMZ65668 OWP65668:OWV65668 PGL65668:PGR65668 PQH65668:PQN65668 QAD65668:QAJ65668 QJZ65668:QKF65668 QTV65668:QUB65668 RDR65668:RDX65668 RNN65668:RNT65668 RXJ65668:RXP65668 SHF65668:SHL65668 SRB65668:SRH65668 TAX65668:TBD65668 TKT65668:TKZ65668 TUP65668:TUV65668 UEL65668:UER65668 UOH65668:UON65668 UYD65668:UYJ65668 VHZ65668:VIF65668 VRV65668:VSB65668 WBR65668:WBX65668 WLN65668:WLT65668 WVJ65668:WVP65668 B131204:H131204 IX131204:JD131204 ST131204:SZ131204 ACP131204:ACV131204 AML131204:AMR131204 AWH131204:AWN131204 BGD131204:BGJ131204 BPZ131204:BQF131204 BZV131204:CAB131204 CJR131204:CJX131204 CTN131204:CTT131204 DDJ131204:DDP131204 DNF131204:DNL131204 DXB131204:DXH131204 EGX131204:EHD131204 EQT131204:EQZ131204 FAP131204:FAV131204 FKL131204:FKR131204 FUH131204:FUN131204 GED131204:GEJ131204 GNZ131204:GOF131204 GXV131204:GYB131204 HHR131204:HHX131204 HRN131204:HRT131204 IBJ131204:IBP131204 ILF131204:ILL131204 IVB131204:IVH131204 JEX131204:JFD131204 JOT131204:JOZ131204 JYP131204:JYV131204 KIL131204:KIR131204 KSH131204:KSN131204 LCD131204:LCJ131204 LLZ131204:LMF131204 LVV131204:LWB131204 MFR131204:MFX131204 MPN131204:MPT131204 MZJ131204:MZP131204 NJF131204:NJL131204 NTB131204:NTH131204 OCX131204:ODD131204 OMT131204:OMZ131204 OWP131204:OWV131204 PGL131204:PGR131204 PQH131204:PQN131204 QAD131204:QAJ131204 QJZ131204:QKF131204 QTV131204:QUB131204 RDR131204:RDX131204 RNN131204:RNT131204 RXJ131204:RXP131204 SHF131204:SHL131204 SRB131204:SRH131204 TAX131204:TBD131204 TKT131204:TKZ131204 TUP131204:TUV131204 UEL131204:UER131204 UOH131204:UON131204 UYD131204:UYJ131204 VHZ131204:VIF131204 VRV131204:VSB131204 WBR131204:WBX131204 WLN131204:WLT131204 WVJ131204:WVP131204 B196740:H196740 IX196740:JD196740 ST196740:SZ196740 ACP196740:ACV196740 AML196740:AMR196740 AWH196740:AWN196740 BGD196740:BGJ196740 BPZ196740:BQF196740 BZV196740:CAB196740 CJR196740:CJX196740 CTN196740:CTT196740 DDJ196740:DDP196740 DNF196740:DNL196740 DXB196740:DXH196740 EGX196740:EHD196740 EQT196740:EQZ196740 FAP196740:FAV196740 FKL196740:FKR196740 FUH196740:FUN196740 GED196740:GEJ196740 GNZ196740:GOF196740 GXV196740:GYB196740 HHR196740:HHX196740 HRN196740:HRT196740 IBJ196740:IBP196740 ILF196740:ILL196740 IVB196740:IVH196740 JEX196740:JFD196740 JOT196740:JOZ196740 JYP196740:JYV196740 KIL196740:KIR196740 KSH196740:KSN196740 LCD196740:LCJ196740 LLZ196740:LMF196740 LVV196740:LWB196740 MFR196740:MFX196740 MPN196740:MPT196740 MZJ196740:MZP196740 NJF196740:NJL196740 NTB196740:NTH196740 OCX196740:ODD196740 OMT196740:OMZ196740 OWP196740:OWV196740 PGL196740:PGR196740 PQH196740:PQN196740 QAD196740:QAJ196740 QJZ196740:QKF196740 QTV196740:QUB196740 RDR196740:RDX196740 RNN196740:RNT196740 RXJ196740:RXP196740 SHF196740:SHL196740 SRB196740:SRH196740 TAX196740:TBD196740 TKT196740:TKZ196740 TUP196740:TUV196740 UEL196740:UER196740 UOH196740:UON196740 UYD196740:UYJ196740 VHZ196740:VIF196740 VRV196740:VSB196740 WBR196740:WBX196740 WLN196740:WLT196740 WVJ196740:WVP196740 B262276:H262276 IX262276:JD262276 ST262276:SZ262276 ACP262276:ACV262276 AML262276:AMR262276 AWH262276:AWN262276 BGD262276:BGJ262276 BPZ262276:BQF262276 BZV262276:CAB262276 CJR262276:CJX262276 CTN262276:CTT262276 DDJ262276:DDP262276 DNF262276:DNL262276 DXB262276:DXH262276 EGX262276:EHD262276 EQT262276:EQZ262276 FAP262276:FAV262276 FKL262276:FKR262276 FUH262276:FUN262276 GED262276:GEJ262276 GNZ262276:GOF262276 GXV262276:GYB262276 HHR262276:HHX262276 HRN262276:HRT262276 IBJ262276:IBP262276 ILF262276:ILL262276 IVB262276:IVH262276 JEX262276:JFD262276 JOT262276:JOZ262276 JYP262276:JYV262276 KIL262276:KIR262276 KSH262276:KSN262276 LCD262276:LCJ262276 LLZ262276:LMF262276 LVV262276:LWB262276 MFR262276:MFX262276 MPN262276:MPT262276 MZJ262276:MZP262276 NJF262276:NJL262276 NTB262276:NTH262276 OCX262276:ODD262276 OMT262276:OMZ262276 OWP262276:OWV262276 PGL262276:PGR262276 PQH262276:PQN262276 QAD262276:QAJ262276 QJZ262276:QKF262276 QTV262276:QUB262276 RDR262276:RDX262276 RNN262276:RNT262276 RXJ262276:RXP262276 SHF262276:SHL262276 SRB262276:SRH262276 TAX262276:TBD262276 TKT262276:TKZ262276 TUP262276:TUV262276 UEL262276:UER262276 UOH262276:UON262276 UYD262276:UYJ262276 VHZ262276:VIF262276 VRV262276:VSB262276 WBR262276:WBX262276 WLN262276:WLT262276 WVJ262276:WVP262276 B327812:H327812 IX327812:JD327812 ST327812:SZ327812 ACP327812:ACV327812 AML327812:AMR327812 AWH327812:AWN327812 BGD327812:BGJ327812 BPZ327812:BQF327812 BZV327812:CAB327812 CJR327812:CJX327812 CTN327812:CTT327812 DDJ327812:DDP327812 DNF327812:DNL327812 DXB327812:DXH327812 EGX327812:EHD327812 EQT327812:EQZ327812 FAP327812:FAV327812 FKL327812:FKR327812 FUH327812:FUN327812 GED327812:GEJ327812 GNZ327812:GOF327812 GXV327812:GYB327812 HHR327812:HHX327812 HRN327812:HRT327812 IBJ327812:IBP327812 ILF327812:ILL327812 IVB327812:IVH327812 JEX327812:JFD327812 JOT327812:JOZ327812 JYP327812:JYV327812 KIL327812:KIR327812 KSH327812:KSN327812 LCD327812:LCJ327812 LLZ327812:LMF327812 LVV327812:LWB327812 MFR327812:MFX327812 MPN327812:MPT327812 MZJ327812:MZP327812 NJF327812:NJL327812 NTB327812:NTH327812 OCX327812:ODD327812 OMT327812:OMZ327812 OWP327812:OWV327812 PGL327812:PGR327812 PQH327812:PQN327812 QAD327812:QAJ327812 QJZ327812:QKF327812 QTV327812:QUB327812 RDR327812:RDX327812 RNN327812:RNT327812 RXJ327812:RXP327812 SHF327812:SHL327812 SRB327812:SRH327812 TAX327812:TBD327812 TKT327812:TKZ327812 TUP327812:TUV327812 UEL327812:UER327812 UOH327812:UON327812 UYD327812:UYJ327812 VHZ327812:VIF327812 VRV327812:VSB327812 WBR327812:WBX327812 WLN327812:WLT327812 WVJ327812:WVP327812 B393348:H393348 IX393348:JD393348 ST393348:SZ393348 ACP393348:ACV393348 AML393348:AMR393348 AWH393348:AWN393348 BGD393348:BGJ393348 BPZ393348:BQF393348 BZV393348:CAB393348 CJR393348:CJX393348 CTN393348:CTT393348 DDJ393348:DDP393348 DNF393348:DNL393348 DXB393348:DXH393348 EGX393348:EHD393348 EQT393348:EQZ393348 FAP393348:FAV393348 FKL393348:FKR393348 FUH393348:FUN393348 GED393348:GEJ393348 GNZ393348:GOF393348 GXV393348:GYB393348 HHR393348:HHX393348 HRN393348:HRT393348 IBJ393348:IBP393348 ILF393348:ILL393348 IVB393348:IVH393348 JEX393348:JFD393348 JOT393348:JOZ393348 JYP393348:JYV393348 KIL393348:KIR393348 KSH393348:KSN393348 LCD393348:LCJ393348 LLZ393348:LMF393348 LVV393348:LWB393348 MFR393348:MFX393348 MPN393348:MPT393348 MZJ393348:MZP393348 NJF393348:NJL393348 NTB393348:NTH393348 OCX393348:ODD393348 OMT393348:OMZ393348 OWP393348:OWV393348 PGL393348:PGR393348 PQH393348:PQN393348 QAD393348:QAJ393348 QJZ393348:QKF393348 QTV393348:QUB393348 RDR393348:RDX393348 RNN393348:RNT393348 RXJ393348:RXP393348 SHF393348:SHL393348 SRB393348:SRH393348 TAX393348:TBD393348 TKT393348:TKZ393348 TUP393348:TUV393348 UEL393348:UER393348 UOH393348:UON393348 UYD393348:UYJ393348 VHZ393348:VIF393348 VRV393348:VSB393348 WBR393348:WBX393348 WLN393348:WLT393348 WVJ393348:WVP393348 B458884:H458884 IX458884:JD458884 ST458884:SZ458884 ACP458884:ACV458884 AML458884:AMR458884 AWH458884:AWN458884 BGD458884:BGJ458884 BPZ458884:BQF458884 BZV458884:CAB458884 CJR458884:CJX458884 CTN458884:CTT458884 DDJ458884:DDP458884 DNF458884:DNL458884 DXB458884:DXH458884 EGX458884:EHD458884 EQT458884:EQZ458884 FAP458884:FAV458884 FKL458884:FKR458884 FUH458884:FUN458884 GED458884:GEJ458884 GNZ458884:GOF458884 GXV458884:GYB458884 HHR458884:HHX458884 HRN458884:HRT458884 IBJ458884:IBP458884 ILF458884:ILL458884 IVB458884:IVH458884 JEX458884:JFD458884 JOT458884:JOZ458884 JYP458884:JYV458884 KIL458884:KIR458884 KSH458884:KSN458884 LCD458884:LCJ458884 LLZ458884:LMF458884 LVV458884:LWB458884 MFR458884:MFX458884 MPN458884:MPT458884 MZJ458884:MZP458884 NJF458884:NJL458884 NTB458884:NTH458884 OCX458884:ODD458884 OMT458884:OMZ458884 OWP458884:OWV458884 PGL458884:PGR458884 PQH458884:PQN458884 QAD458884:QAJ458884 QJZ458884:QKF458884 QTV458884:QUB458884 RDR458884:RDX458884 RNN458884:RNT458884 RXJ458884:RXP458884 SHF458884:SHL458884 SRB458884:SRH458884 TAX458884:TBD458884 TKT458884:TKZ458884 TUP458884:TUV458884 UEL458884:UER458884 UOH458884:UON458884 UYD458884:UYJ458884 VHZ458884:VIF458884 VRV458884:VSB458884 WBR458884:WBX458884 WLN458884:WLT458884 WVJ458884:WVP458884 B524420:H524420 IX524420:JD524420 ST524420:SZ524420 ACP524420:ACV524420 AML524420:AMR524420 AWH524420:AWN524420 BGD524420:BGJ524420 BPZ524420:BQF524420 BZV524420:CAB524420 CJR524420:CJX524420 CTN524420:CTT524420 DDJ524420:DDP524420 DNF524420:DNL524420 DXB524420:DXH524420 EGX524420:EHD524420 EQT524420:EQZ524420 FAP524420:FAV524420 FKL524420:FKR524420 FUH524420:FUN524420 GED524420:GEJ524420 GNZ524420:GOF524420 GXV524420:GYB524420 HHR524420:HHX524420 HRN524420:HRT524420 IBJ524420:IBP524420 ILF524420:ILL524420 IVB524420:IVH524420 JEX524420:JFD524420 JOT524420:JOZ524420 JYP524420:JYV524420 KIL524420:KIR524420 KSH524420:KSN524420 LCD524420:LCJ524420 LLZ524420:LMF524420 LVV524420:LWB524420 MFR524420:MFX524420 MPN524420:MPT524420 MZJ524420:MZP524420 NJF524420:NJL524420 NTB524420:NTH524420 OCX524420:ODD524420 OMT524420:OMZ524420 OWP524420:OWV524420 PGL524420:PGR524420 PQH524420:PQN524420 QAD524420:QAJ524420 QJZ524420:QKF524420 QTV524420:QUB524420 RDR524420:RDX524420 RNN524420:RNT524420 RXJ524420:RXP524420 SHF524420:SHL524420 SRB524420:SRH524420 TAX524420:TBD524420 TKT524420:TKZ524420 TUP524420:TUV524420 UEL524420:UER524420 UOH524420:UON524420 UYD524420:UYJ524420 VHZ524420:VIF524420 VRV524420:VSB524420 WBR524420:WBX524420 WLN524420:WLT524420 WVJ524420:WVP524420 B589956:H589956 IX589956:JD589956 ST589956:SZ589956 ACP589956:ACV589956 AML589956:AMR589956 AWH589956:AWN589956 BGD589956:BGJ589956 BPZ589956:BQF589956 BZV589956:CAB589956 CJR589956:CJX589956 CTN589956:CTT589956 DDJ589956:DDP589956 DNF589956:DNL589956 DXB589956:DXH589956 EGX589956:EHD589956 EQT589956:EQZ589956 FAP589956:FAV589956 FKL589956:FKR589956 FUH589956:FUN589956 GED589956:GEJ589956 GNZ589956:GOF589956 GXV589956:GYB589956 HHR589956:HHX589956 HRN589956:HRT589956 IBJ589956:IBP589956 ILF589956:ILL589956 IVB589956:IVH589956 JEX589956:JFD589956 JOT589956:JOZ589956 JYP589956:JYV589956 KIL589956:KIR589956 KSH589956:KSN589956 LCD589956:LCJ589956 LLZ589956:LMF589956 LVV589956:LWB589956 MFR589956:MFX589956 MPN589956:MPT589956 MZJ589956:MZP589956 NJF589956:NJL589956 NTB589956:NTH589956 OCX589956:ODD589956 OMT589956:OMZ589956 OWP589956:OWV589956 PGL589956:PGR589956 PQH589956:PQN589956 QAD589956:QAJ589956 QJZ589956:QKF589956 QTV589956:QUB589956 RDR589956:RDX589956 RNN589956:RNT589956 RXJ589956:RXP589956 SHF589956:SHL589956 SRB589956:SRH589956 TAX589956:TBD589956 TKT589956:TKZ589956 TUP589956:TUV589956 UEL589956:UER589956 UOH589956:UON589956 UYD589956:UYJ589956 VHZ589956:VIF589956 VRV589956:VSB589956 WBR589956:WBX589956 WLN589956:WLT589956 WVJ589956:WVP589956 B655492:H655492 IX655492:JD655492 ST655492:SZ655492 ACP655492:ACV655492 AML655492:AMR655492 AWH655492:AWN655492 BGD655492:BGJ655492 BPZ655492:BQF655492 BZV655492:CAB655492 CJR655492:CJX655492 CTN655492:CTT655492 DDJ655492:DDP655492 DNF655492:DNL655492 DXB655492:DXH655492 EGX655492:EHD655492 EQT655492:EQZ655492 FAP655492:FAV655492 FKL655492:FKR655492 FUH655492:FUN655492 GED655492:GEJ655492 GNZ655492:GOF655492 GXV655492:GYB655492 HHR655492:HHX655492 HRN655492:HRT655492 IBJ655492:IBP655492 ILF655492:ILL655492 IVB655492:IVH655492 JEX655492:JFD655492 JOT655492:JOZ655492 JYP655492:JYV655492 KIL655492:KIR655492 KSH655492:KSN655492 LCD655492:LCJ655492 LLZ655492:LMF655492 LVV655492:LWB655492 MFR655492:MFX655492 MPN655492:MPT655492 MZJ655492:MZP655492 NJF655492:NJL655492 NTB655492:NTH655492 OCX655492:ODD655492 OMT655492:OMZ655492 OWP655492:OWV655492 PGL655492:PGR655492 PQH655492:PQN655492 QAD655492:QAJ655492 QJZ655492:QKF655492 QTV655492:QUB655492 RDR655492:RDX655492 RNN655492:RNT655492 RXJ655492:RXP655492 SHF655492:SHL655492 SRB655492:SRH655492 TAX655492:TBD655492 TKT655492:TKZ655492 TUP655492:TUV655492 UEL655492:UER655492 UOH655492:UON655492 UYD655492:UYJ655492 VHZ655492:VIF655492 VRV655492:VSB655492 WBR655492:WBX655492 WLN655492:WLT655492 WVJ655492:WVP655492 B721028:H721028 IX721028:JD721028 ST721028:SZ721028 ACP721028:ACV721028 AML721028:AMR721028 AWH721028:AWN721028 BGD721028:BGJ721028 BPZ721028:BQF721028 BZV721028:CAB721028 CJR721028:CJX721028 CTN721028:CTT721028 DDJ721028:DDP721028 DNF721028:DNL721028 DXB721028:DXH721028 EGX721028:EHD721028 EQT721028:EQZ721028 FAP721028:FAV721028 FKL721028:FKR721028 FUH721028:FUN721028 GED721028:GEJ721028 GNZ721028:GOF721028 GXV721028:GYB721028 HHR721028:HHX721028 HRN721028:HRT721028 IBJ721028:IBP721028 ILF721028:ILL721028 IVB721028:IVH721028 JEX721028:JFD721028 JOT721028:JOZ721028 JYP721028:JYV721028 KIL721028:KIR721028 KSH721028:KSN721028 LCD721028:LCJ721028 LLZ721028:LMF721028 LVV721028:LWB721028 MFR721028:MFX721028 MPN721028:MPT721028 MZJ721028:MZP721028 NJF721028:NJL721028 NTB721028:NTH721028 OCX721028:ODD721028 OMT721028:OMZ721028 OWP721028:OWV721028 PGL721028:PGR721028 PQH721028:PQN721028 QAD721028:QAJ721028 QJZ721028:QKF721028 QTV721028:QUB721028 RDR721028:RDX721028 RNN721028:RNT721028 RXJ721028:RXP721028 SHF721028:SHL721028 SRB721028:SRH721028 TAX721028:TBD721028 TKT721028:TKZ721028 TUP721028:TUV721028 UEL721028:UER721028 UOH721028:UON721028 UYD721028:UYJ721028 VHZ721028:VIF721028 VRV721028:VSB721028 WBR721028:WBX721028 WLN721028:WLT721028 WVJ721028:WVP721028 B786564:H786564 IX786564:JD786564 ST786564:SZ786564 ACP786564:ACV786564 AML786564:AMR786564 AWH786564:AWN786564 BGD786564:BGJ786564 BPZ786564:BQF786564 BZV786564:CAB786564 CJR786564:CJX786564 CTN786564:CTT786564 DDJ786564:DDP786564 DNF786564:DNL786564 DXB786564:DXH786564 EGX786564:EHD786564 EQT786564:EQZ786564 FAP786564:FAV786564 FKL786564:FKR786564 FUH786564:FUN786564 GED786564:GEJ786564 GNZ786564:GOF786564 GXV786564:GYB786564 HHR786564:HHX786564 HRN786564:HRT786564 IBJ786564:IBP786564 ILF786564:ILL786564 IVB786564:IVH786564 JEX786564:JFD786564 JOT786564:JOZ786564 JYP786564:JYV786564 KIL786564:KIR786564 KSH786564:KSN786564 LCD786564:LCJ786564 LLZ786564:LMF786564 LVV786564:LWB786564 MFR786564:MFX786564 MPN786564:MPT786564 MZJ786564:MZP786564 NJF786564:NJL786564 NTB786564:NTH786564 OCX786564:ODD786564 OMT786564:OMZ786564 OWP786564:OWV786564 PGL786564:PGR786564 PQH786564:PQN786564 QAD786564:QAJ786564 QJZ786564:QKF786564 QTV786564:QUB786564 RDR786564:RDX786564 RNN786564:RNT786564 RXJ786564:RXP786564 SHF786564:SHL786564 SRB786564:SRH786564 TAX786564:TBD786564 TKT786564:TKZ786564 TUP786564:TUV786564 UEL786564:UER786564 UOH786564:UON786564 UYD786564:UYJ786564 VHZ786564:VIF786564 VRV786564:VSB786564 WBR786564:WBX786564 WLN786564:WLT786564 WVJ786564:WVP786564 B852100:H852100 IX852100:JD852100 ST852100:SZ852100 ACP852100:ACV852100 AML852100:AMR852100 AWH852100:AWN852100 BGD852100:BGJ852100 BPZ852100:BQF852100 BZV852100:CAB852100 CJR852100:CJX852100 CTN852100:CTT852100 DDJ852100:DDP852100 DNF852100:DNL852100 DXB852100:DXH852100 EGX852100:EHD852100 EQT852100:EQZ852100 FAP852100:FAV852100 FKL852100:FKR852100 FUH852100:FUN852100 GED852100:GEJ852100 GNZ852100:GOF852100 GXV852100:GYB852100 HHR852100:HHX852100 HRN852100:HRT852100 IBJ852100:IBP852100 ILF852100:ILL852100 IVB852100:IVH852100 JEX852100:JFD852100 JOT852100:JOZ852100 JYP852100:JYV852100 KIL852100:KIR852100 KSH852100:KSN852100 LCD852100:LCJ852100 LLZ852100:LMF852100 LVV852100:LWB852100 MFR852100:MFX852100 MPN852100:MPT852100 MZJ852100:MZP852100 NJF852100:NJL852100 NTB852100:NTH852100 OCX852100:ODD852100 OMT852100:OMZ852100 OWP852100:OWV852100 PGL852100:PGR852100 PQH852100:PQN852100 QAD852100:QAJ852100 QJZ852100:QKF852100 QTV852100:QUB852100 RDR852100:RDX852100 RNN852100:RNT852100 RXJ852100:RXP852100 SHF852100:SHL852100 SRB852100:SRH852100 TAX852100:TBD852100 TKT852100:TKZ852100 TUP852100:TUV852100 UEL852100:UER852100 UOH852100:UON852100 UYD852100:UYJ852100 VHZ852100:VIF852100 VRV852100:VSB852100 WBR852100:WBX852100 WLN852100:WLT852100 WVJ852100:WVP852100 B917636:H917636 IX917636:JD917636 ST917636:SZ917636 ACP917636:ACV917636 AML917636:AMR917636 AWH917636:AWN917636 BGD917636:BGJ917636 BPZ917636:BQF917636 BZV917636:CAB917636 CJR917636:CJX917636 CTN917636:CTT917636 DDJ917636:DDP917636 DNF917636:DNL917636 DXB917636:DXH917636 EGX917636:EHD917636 EQT917636:EQZ917636 FAP917636:FAV917636 FKL917636:FKR917636 FUH917636:FUN917636 GED917636:GEJ917636 GNZ917636:GOF917636 GXV917636:GYB917636 HHR917636:HHX917636 HRN917636:HRT917636 IBJ917636:IBP917636 ILF917636:ILL917636 IVB917636:IVH917636 JEX917636:JFD917636 JOT917636:JOZ917636 JYP917636:JYV917636 KIL917636:KIR917636 KSH917636:KSN917636 LCD917636:LCJ917636 LLZ917636:LMF917636 LVV917636:LWB917636 MFR917636:MFX917636 MPN917636:MPT917636 MZJ917636:MZP917636 NJF917636:NJL917636 NTB917636:NTH917636 OCX917636:ODD917636 OMT917636:OMZ917636 OWP917636:OWV917636 PGL917636:PGR917636 PQH917636:PQN917636 QAD917636:QAJ917636 QJZ917636:QKF917636 QTV917636:QUB917636 RDR917636:RDX917636 RNN917636:RNT917636 RXJ917636:RXP917636 SHF917636:SHL917636 SRB917636:SRH917636 TAX917636:TBD917636 TKT917636:TKZ917636 TUP917636:TUV917636 UEL917636:UER917636 UOH917636:UON917636 UYD917636:UYJ917636 VHZ917636:VIF917636 VRV917636:VSB917636 WBR917636:WBX917636 WLN917636:WLT917636 WVJ917636:WVP917636 B983172:H983172 IX983172:JD983172 ST983172:SZ983172 ACP983172:ACV983172 AML983172:AMR983172 AWH983172:AWN983172 BGD983172:BGJ983172 BPZ983172:BQF983172 BZV983172:CAB983172 CJR983172:CJX983172 CTN983172:CTT983172 DDJ983172:DDP983172 DNF983172:DNL983172 DXB983172:DXH983172 EGX983172:EHD983172 EQT983172:EQZ983172 FAP983172:FAV983172 FKL983172:FKR983172 FUH983172:FUN983172 GED983172:GEJ983172 GNZ983172:GOF983172 GXV983172:GYB983172 HHR983172:HHX983172 HRN983172:HRT983172 IBJ983172:IBP983172 ILF983172:ILL983172 IVB983172:IVH983172 JEX983172:JFD983172 JOT983172:JOZ983172 JYP983172:JYV983172 KIL983172:KIR983172 KSH983172:KSN983172 LCD983172:LCJ983172 LLZ983172:LMF983172 LVV983172:LWB983172 MFR983172:MFX983172 MPN983172:MPT983172 MZJ983172:MZP983172 NJF983172:NJL983172 NTB983172:NTH983172 OCX983172:ODD983172 OMT983172:OMZ983172 OWP983172:OWV983172 PGL983172:PGR983172 PQH983172:PQN983172 QAD983172:QAJ983172 QJZ983172:QKF983172 QTV983172:QUB983172 RDR983172:RDX983172 RNN983172:RNT983172 RXJ983172:RXP983172 SHF983172:SHL983172 SRB983172:SRH983172 TAX983172:TBD983172 TKT983172:TKZ983172 TUP983172:TUV983172 UEL983172:UER983172 UOH983172:UON983172 UYD983172:UYJ983172 VHZ983172:VIF983172 VRV983172:VSB983172 WBR983172:WBX983172 WLN983172:WLT983172 WVJ983172:WVP983172 B148:H148 IX148:JD148 ST148:SZ148 ACP148:ACV148 AML148:AMR148 AWH148:AWN148 BGD148:BGJ148 BPZ148:BQF148 BZV148:CAB148 CJR148:CJX148 CTN148:CTT148 DDJ148:DDP148 DNF148:DNL148 DXB148:DXH148 EGX148:EHD148 EQT148:EQZ148 FAP148:FAV148 FKL148:FKR148 FUH148:FUN148 GED148:GEJ148 GNZ148:GOF148 GXV148:GYB148 HHR148:HHX148 HRN148:HRT148 IBJ148:IBP148 ILF148:ILL148 IVB148:IVH148 JEX148:JFD148 JOT148:JOZ148 JYP148:JYV148 KIL148:KIR148 KSH148:KSN148 LCD148:LCJ148 LLZ148:LMF148 LVV148:LWB148 MFR148:MFX148 MPN148:MPT148 MZJ148:MZP148 NJF148:NJL148 NTB148:NTH148 OCX148:ODD148 OMT148:OMZ148 OWP148:OWV148 PGL148:PGR148 PQH148:PQN148 QAD148:QAJ148 QJZ148:QKF148 QTV148:QUB148 RDR148:RDX148 RNN148:RNT148 RXJ148:RXP148 SHF148:SHL148 SRB148:SRH148 TAX148:TBD148 TKT148:TKZ148 TUP148:TUV148 UEL148:UER148 UOH148:UON148 UYD148:UYJ148 VHZ148:VIF148 VRV148:VSB148 WBR148:WBX148 WLN148:WLT148 WVJ148:WVP148 B65684:H65684 IX65684:JD65684 ST65684:SZ65684 ACP65684:ACV65684 AML65684:AMR65684 AWH65684:AWN65684 BGD65684:BGJ65684 BPZ65684:BQF65684 BZV65684:CAB65684 CJR65684:CJX65684 CTN65684:CTT65684 DDJ65684:DDP65684 DNF65684:DNL65684 DXB65684:DXH65684 EGX65684:EHD65684 EQT65684:EQZ65684 FAP65684:FAV65684 FKL65684:FKR65684 FUH65684:FUN65684 GED65684:GEJ65684 GNZ65684:GOF65684 GXV65684:GYB65684 HHR65684:HHX65684 HRN65684:HRT65684 IBJ65684:IBP65684 ILF65684:ILL65684 IVB65684:IVH65684 JEX65684:JFD65684 JOT65684:JOZ65684 JYP65684:JYV65684 KIL65684:KIR65684 KSH65684:KSN65684 LCD65684:LCJ65684 LLZ65684:LMF65684 LVV65684:LWB65684 MFR65684:MFX65684 MPN65684:MPT65684 MZJ65684:MZP65684 NJF65684:NJL65684 NTB65684:NTH65684 OCX65684:ODD65684 OMT65684:OMZ65684 OWP65684:OWV65684 PGL65684:PGR65684 PQH65684:PQN65684 QAD65684:QAJ65684 QJZ65684:QKF65684 QTV65684:QUB65684 RDR65684:RDX65684 RNN65684:RNT65684 RXJ65684:RXP65684 SHF65684:SHL65684 SRB65684:SRH65684 TAX65684:TBD65684 TKT65684:TKZ65684 TUP65684:TUV65684 UEL65684:UER65684 UOH65684:UON65684 UYD65684:UYJ65684 VHZ65684:VIF65684 VRV65684:VSB65684 WBR65684:WBX65684 WLN65684:WLT65684 WVJ65684:WVP65684 B131220:H131220 IX131220:JD131220 ST131220:SZ131220 ACP131220:ACV131220 AML131220:AMR131220 AWH131220:AWN131220 BGD131220:BGJ131220 BPZ131220:BQF131220 BZV131220:CAB131220 CJR131220:CJX131220 CTN131220:CTT131220 DDJ131220:DDP131220 DNF131220:DNL131220 DXB131220:DXH131220 EGX131220:EHD131220 EQT131220:EQZ131220 FAP131220:FAV131220 FKL131220:FKR131220 FUH131220:FUN131220 GED131220:GEJ131220 GNZ131220:GOF131220 GXV131220:GYB131220 HHR131220:HHX131220 HRN131220:HRT131220 IBJ131220:IBP131220 ILF131220:ILL131220 IVB131220:IVH131220 JEX131220:JFD131220 JOT131220:JOZ131220 JYP131220:JYV131220 KIL131220:KIR131220 KSH131220:KSN131220 LCD131220:LCJ131220 LLZ131220:LMF131220 LVV131220:LWB131220 MFR131220:MFX131220 MPN131220:MPT131220 MZJ131220:MZP131220 NJF131220:NJL131220 NTB131220:NTH131220 OCX131220:ODD131220 OMT131220:OMZ131220 OWP131220:OWV131220 PGL131220:PGR131220 PQH131220:PQN131220 QAD131220:QAJ131220 QJZ131220:QKF131220 QTV131220:QUB131220 RDR131220:RDX131220 RNN131220:RNT131220 RXJ131220:RXP131220 SHF131220:SHL131220 SRB131220:SRH131220 TAX131220:TBD131220 TKT131220:TKZ131220 TUP131220:TUV131220 UEL131220:UER131220 UOH131220:UON131220 UYD131220:UYJ131220 VHZ131220:VIF131220 VRV131220:VSB131220 WBR131220:WBX131220 WLN131220:WLT131220 WVJ131220:WVP131220 B196756:H196756 IX196756:JD196756 ST196756:SZ196756 ACP196756:ACV196756 AML196756:AMR196756 AWH196756:AWN196756 BGD196756:BGJ196756 BPZ196756:BQF196756 BZV196756:CAB196756 CJR196756:CJX196756 CTN196756:CTT196756 DDJ196756:DDP196756 DNF196756:DNL196756 DXB196756:DXH196756 EGX196756:EHD196756 EQT196756:EQZ196756 FAP196756:FAV196756 FKL196756:FKR196756 FUH196756:FUN196756 GED196756:GEJ196756 GNZ196756:GOF196756 GXV196756:GYB196756 HHR196756:HHX196756 HRN196756:HRT196756 IBJ196756:IBP196756 ILF196756:ILL196756 IVB196756:IVH196756 JEX196756:JFD196756 JOT196756:JOZ196756 JYP196756:JYV196756 KIL196756:KIR196756 KSH196756:KSN196756 LCD196756:LCJ196756 LLZ196756:LMF196756 LVV196756:LWB196756 MFR196756:MFX196756 MPN196756:MPT196756 MZJ196756:MZP196756 NJF196756:NJL196756 NTB196756:NTH196756 OCX196756:ODD196756 OMT196756:OMZ196756 OWP196756:OWV196756 PGL196756:PGR196756 PQH196756:PQN196756 QAD196756:QAJ196756 QJZ196756:QKF196756 QTV196756:QUB196756 RDR196756:RDX196756 RNN196756:RNT196756 RXJ196756:RXP196756 SHF196756:SHL196756 SRB196756:SRH196756 TAX196756:TBD196756 TKT196756:TKZ196756 TUP196756:TUV196756 UEL196756:UER196756 UOH196756:UON196756 UYD196756:UYJ196756 VHZ196756:VIF196756 VRV196756:VSB196756 WBR196756:WBX196756 WLN196756:WLT196756 WVJ196756:WVP196756 B262292:H262292 IX262292:JD262292 ST262292:SZ262292 ACP262292:ACV262292 AML262292:AMR262292 AWH262292:AWN262292 BGD262292:BGJ262292 BPZ262292:BQF262292 BZV262292:CAB262292 CJR262292:CJX262292 CTN262292:CTT262292 DDJ262292:DDP262292 DNF262292:DNL262292 DXB262292:DXH262292 EGX262292:EHD262292 EQT262292:EQZ262292 FAP262292:FAV262292 FKL262292:FKR262292 FUH262292:FUN262292 GED262292:GEJ262292 GNZ262292:GOF262292 GXV262292:GYB262292 HHR262292:HHX262292 HRN262292:HRT262292 IBJ262292:IBP262292 ILF262292:ILL262292 IVB262292:IVH262292 JEX262292:JFD262292 JOT262292:JOZ262292 JYP262292:JYV262292 KIL262292:KIR262292 KSH262292:KSN262292 LCD262292:LCJ262292 LLZ262292:LMF262292 LVV262292:LWB262292 MFR262292:MFX262292 MPN262292:MPT262292 MZJ262292:MZP262292 NJF262292:NJL262292 NTB262292:NTH262292 OCX262292:ODD262292 OMT262292:OMZ262292 OWP262292:OWV262292 PGL262292:PGR262292 PQH262292:PQN262292 QAD262292:QAJ262292 QJZ262292:QKF262292 QTV262292:QUB262292 RDR262292:RDX262292 RNN262292:RNT262292 RXJ262292:RXP262292 SHF262292:SHL262292 SRB262292:SRH262292 TAX262292:TBD262292 TKT262292:TKZ262292 TUP262292:TUV262292 UEL262292:UER262292 UOH262292:UON262292 UYD262292:UYJ262292 VHZ262292:VIF262292 VRV262292:VSB262292 WBR262292:WBX262292 WLN262292:WLT262292 WVJ262292:WVP262292 B327828:H327828 IX327828:JD327828 ST327828:SZ327828 ACP327828:ACV327828 AML327828:AMR327828 AWH327828:AWN327828 BGD327828:BGJ327828 BPZ327828:BQF327828 BZV327828:CAB327828 CJR327828:CJX327828 CTN327828:CTT327828 DDJ327828:DDP327828 DNF327828:DNL327828 DXB327828:DXH327828 EGX327828:EHD327828 EQT327828:EQZ327828 FAP327828:FAV327828 FKL327828:FKR327828 FUH327828:FUN327828 GED327828:GEJ327828 GNZ327828:GOF327828 GXV327828:GYB327828 HHR327828:HHX327828 HRN327828:HRT327828 IBJ327828:IBP327828 ILF327828:ILL327828 IVB327828:IVH327828 JEX327828:JFD327828 JOT327828:JOZ327828 JYP327828:JYV327828 KIL327828:KIR327828 KSH327828:KSN327828 LCD327828:LCJ327828 LLZ327828:LMF327828 LVV327828:LWB327828 MFR327828:MFX327828 MPN327828:MPT327828 MZJ327828:MZP327828 NJF327828:NJL327828 NTB327828:NTH327828 OCX327828:ODD327828 OMT327828:OMZ327828 OWP327828:OWV327828 PGL327828:PGR327828 PQH327828:PQN327828 QAD327828:QAJ327828 QJZ327828:QKF327828 QTV327828:QUB327828 RDR327828:RDX327828 RNN327828:RNT327828 RXJ327828:RXP327828 SHF327828:SHL327828 SRB327828:SRH327828 TAX327828:TBD327828 TKT327828:TKZ327828 TUP327828:TUV327828 UEL327828:UER327828 UOH327828:UON327828 UYD327828:UYJ327828 VHZ327828:VIF327828 VRV327828:VSB327828 WBR327828:WBX327828 WLN327828:WLT327828 WVJ327828:WVP327828 B393364:H393364 IX393364:JD393364 ST393364:SZ393364 ACP393364:ACV393364 AML393364:AMR393364 AWH393364:AWN393364 BGD393364:BGJ393364 BPZ393364:BQF393364 BZV393364:CAB393364 CJR393364:CJX393364 CTN393364:CTT393364 DDJ393364:DDP393364 DNF393364:DNL393364 DXB393364:DXH393364 EGX393364:EHD393364 EQT393364:EQZ393364 FAP393364:FAV393364 FKL393364:FKR393364 FUH393364:FUN393364 GED393364:GEJ393364 GNZ393364:GOF393364 GXV393364:GYB393364 HHR393364:HHX393364 HRN393364:HRT393364 IBJ393364:IBP393364 ILF393364:ILL393364 IVB393364:IVH393364 JEX393364:JFD393364 JOT393364:JOZ393364 JYP393364:JYV393364 KIL393364:KIR393364 KSH393364:KSN393364 LCD393364:LCJ393364 LLZ393364:LMF393364 LVV393364:LWB393364 MFR393364:MFX393364 MPN393364:MPT393364 MZJ393364:MZP393364 NJF393364:NJL393364 NTB393364:NTH393364 OCX393364:ODD393364 OMT393364:OMZ393364 OWP393364:OWV393364 PGL393364:PGR393364 PQH393364:PQN393364 QAD393364:QAJ393364 QJZ393364:QKF393364 QTV393364:QUB393364 RDR393364:RDX393364 RNN393364:RNT393364 RXJ393364:RXP393364 SHF393364:SHL393364 SRB393364:SRH393364 TAX393364:TBD393364 TKT393364:TKZ393364 TUP393364:TUV393364 UEL393364:UER393364 UOH393364:UON393364 UYD393364:UYJ393364 VHZ393364:VIF393364 VRV393364:VSB393364 WBR393364:WBX393364 WLN393364:WLT393364 WVJ393364:WVP393364 B458900:H458900 IX458900:JD458900 ST458900:SZ458900 ACP458900:ACV458900 AML458900:AMR458900 AWH458900:AWN458900 BGD458900:BGJ458900 BPZ458900:BQF458900 BZV458900:CAB458900 CJR458900:CJX458900 CTN458900:CTT458900 DDJ458900:DDP458900 DNF458900:DNL458900 DXB458900:DXH458900 EGX458900:EHD458900 EQT458900:EQZ458900 FAP458900:FAV458900 FKL458900:FKR458900 FUH458900:FUN458900 GED458900:GEJ458900 GNZ458900:GOF458900 GXV458900:GYB458900 HHR458900:HHX458900 HRN458900:HRT458900 IBJ458900:IBP458900 ILF458900:ILL458900 IVB458900:IVH458900 JEX458900:JFD458900 JOT458900:JOZ458900 JYP458900:JYV458900 KIL458900:KIR458900 KSH458900:KSN458900 LCD458900:LCJ458900 LLZ458900:LMF458900 LVV458900:LWB458900 MFR458900:MFX458900 MPN458900:MPT458900 MZJ458900:MZP458900 NJF458900:NJL458900 NTB458900:NTH458900 OCX458900:ODD458900 OMT458900:OMZ458900 OWP458900:OWV458900 PGL458900:PGR458900 PQH458900:PQN458900 QAD458900:QAJ458900 QJZ458900:QKF458900 QTV458900:QUB458900 RDR458900:RDX458900 RNN458900:RNT458900 RXJ458900:RXP458900 SHF458900:SHL458900 SRB458900:SRH458900 TAX458900:TBD458900 TKT458900:TKZ458900 TUP458900:TUV458900 UEL458900:UER458900 UOH458900:UON458900 UYD458900:UYJ458900 VHZ458900:VIF458900 VRV458900:VSB458900 WBR458900:WBX458900 WLN458900:WLT458900 WVJ458900:WVP458900 B524436:H524436 IX524436:JD524436 ST524436:SZ524436 ACP524436:ACV524436 AML524436:AMR524436 AWH524436:AWN524436 BGD524436:BGJ524436 BPZ524436:BQF524436 BZV524436:CAB524436 CJR524436:CJX524436 CTN524436:CTT524436 DDJ524436:DDP524436 DNF524436:DNL524436 DXB524436:DXH524436 EGX524436:EHD524436 EQT524436:EQZ524436 FAP524436:FAV524436 FKL524436:FKR524436 FUH524436:FUN524436 GED524436:GEJ524436 GNZ524436:GOF524436 GXV524436:GYB524436 HHR524436:HHX524436 HRN524436:HRT524436 IBJ524436:IBP524436 ILF524436:ILL524436 IVB524436:IVH524436 JEX524436:JFD524436 JOT524436:JOZ524436 JYP524436:JYV524436 KIL524436:KIR524436 KSH524436:KSN524436 LCD524436:LCJ524436 LLZ524436:LMF524436 LVV524436:LWB524436 MFR524436:MFX524436 MPN524436:MPT524436 MZJ524436:MZP524436 NJF524436:NJL524436 NTB524436:NTH524436 OCX524436:ODD524436 OMT524436:OMZ524436 OWP524436:OWV524436 PGL524436:PGR524436 PQH524436:PQN524436 QAD524436:QAJ524436 QJZ524436:QKF524436 QTV524436:QUB524436 RDR524436:RDX524436 RNN524436:RNT524436 RXJ524436:RXP524436 SHF524436:SHL524436 SRB524436:SRH524436 TAX524436:TBD524436 TKT524436:TKZ524436 TUP524436:TUV524436 UEL524436:UER524436 UOH524436:UON524436 UYD524436:UYJ524436 VHZ524436:VIF524436 VRV524436:VSB524436 WBR524436:WBX524436 WLN524436:WLT524436 WVJ524436:WVP524436 B589972:H589972 IX589972:JD589972 ST589972:SZ589972 ACP589972:ACV589972 AML589972:AMR589972 AWH589972:AWN589972 BGD589972:BGJ589972 BPZ589972:BQF589972 BZV589972:CAB589972 CJR589972:CJX589972 CTN589972:CTT589972 DDJ589972:DDP589972 DNF589972:DNL589972 DXB589972:DXH589972 EGX589972:EHD589972 EQT589972:EQZ589972 FAP589972:FAV589972 FKL589972:FKR589972 FUH589972:FUN589972 GED589972:GEJ589972 GNZ589972:GOF589972 GXV589972:GYB589972 HHR589972:HHX589972 HRN589972:HRT589972 IBJ589972:IBP589972 ILF589972:ILL589972 IVB589972:IVH589972 JEX589972:JFD589972 JOT589972:JOZ589972 JYP589972:JYV589972 KIL589972:KIR589972 KSH589972:KSN589972 LCD589972:LCJ589972 LLZ589972:LMF589972 LVV589972:LWB589972 MFR589972:MFX589972 MPN589972:MPT589972 MZJ589972:MZP589972 NJF589972:NJL589972 NTB589972:NTH589972 OCX589972:ODD589972 OMT589972:OMZ589972 OWP589972:OWV589972 PGL589972:PGR589972 PQH589972:PQN589972 QAD589972:QAJ589972 QJZ589972:QKF589972 QTV589972:QUB589972 RDR589972:RDX589972 RNN589972:RNT589972 RXJ589972:RXP589972 SHF589972:SHL589972 SRB589972:SRH589972 TAX589972:TBD589972 TKT589972:TKZ589972 TUP589972:TUV589972 UEL589972:UER589972 UOH589972:UON589972 UYD589972:UYJ589972 VHZ589972:VIF589972 VRV589972:VSB589972 WBR589972:WBX589972 WLN589972:WLT589972 WVJ589972:WVP589972 B655508:H655508 IX655508:JD655508 ST655508:SZ655508 ACP655508:ACV655508 AML655508:AMR655508 AWH655508:AWN655508 BGD655508:BGJ655508 BPZ655508:BQF655508 BZV655508:CAB655508 CJR655508:CJX655508 CTN655508:CTT655508 DDJ655508:DDP655508 DNF655508:DNL655508 DXB655508:DXH655508 EGX655508:EHD655508 EQT655508:EQZ655508 FAP655508:FAV655508 FKL655508:FKR655508 FUH655508:FUN655508 GED655508:GEJ655508 GNZ655508:GOF655508 GXV655508:GYB655508 HHR655508:HHX655508 HRN655508:HRT655508 IBJ655508:IBP655508 ILF655508:ILL655508 IVB655508:IVH655508 JEX655508:JFD655508 JOT655508:JOZ655508 JYP655508:JYV655508 KIL655508:KIR655508 KSH655508:KSN655508 LCD655508:LCJ655508 LLZ655508:LMF655508 LVV655508:LWB655508 MFR655508:MFX655508 MPN655508:MPT655508 MZJ655508:MZP655508 NJF655508:NJL655508 NTB655508:NTH655508 OCX655508:ODD655508 OMT655508:OMZ655508 OWP655508:OWV655508 PGL655508:PGR655508 PQH655508:PQN655508 QAD655508:QAJ655508 QJZ655508:QKF655508 QTV655508:QUB655508 RDR655508:RDX655508 RNN655508:RNT655508 RXJ655508:RXP655508 SHF655508:SHL655508 SRB655508:SRH655508 TAX655508:TBD655508 TKT655508:TKZ655508 TUP655508:TUV655508 UEL655508:UER655508 UOH655508:UON655508 UYD655508:UYJ655508 VHZ655508:VIF655508 VRV655508:VSB655508 WBR655508:WBX655508 WLN655508:WLT655508 WVJ655508:WVP655508 B721044:H721044 IX721044:JD721044 ST721044:SZ721044 ACP721044:ACV721044 AML721044:AMR721044 AWH721044:AWN721044 BGD721044:BGJ721044 BPZ721044:BQF721044 BZV721044:CAB721044 CJR721044:CJX721044 CTN721044:CTT721044 DDJ721044:DDP721044 DNF721044:DNL721044 DXB721044:DXH721044 EGX721044:EHD721044 EQT721044:EQZ721044 FAP721044:FAV721044 FKL721044:FKR721044 FUH721044:FUN721044 GED721044:GEJ721044 GNZ721044:GOF721044 GXV721044:GYB721044 HHR721044:HHX721044 HRN721044:HRT721044 IBJ721044:IBP721044 ILF721044:ILL721044 IVB721044:IVH721044 JEX721044:JFD721044 JOT721044:JOZ721044 JYP721044:JYV721044 KIL721044:KIR721044 KSH721044:KSN721044 LCD721044:LCJ721044 LLZ721044:LMF721044 LVV721044:LWB721044 MFR721044:MFX721044 MPN721044:MPT721044 MZJ721044:MZP721044 NJF721044:NJL721044 NTB721044:NTH721044 OCX721044:ODD721044 OMT721044:OMZ721044 OWP721044:OWV721044 PGL721044:PGR721044 PQH721044:PQN721044 QAD721044:QAJ721044 QJZ721044:QKF721044 QTV721044:QUB721044 RDR721044:RDX721044 RNN721044:RNT721044 RXJ721044:RXP721044 SHF721044:SHL721044 SRB721044:SRH721044 TAX721044:TBD721044 TKT721044:TKZ721044 TUP721044:TUV721044 UEL721044:UER721044 UOH721044:UON721044 UYD721044:UYJ721044 VHZ721044:VIF721044 VRV721044:VSB721044 WBR721044:WBX721044 WLN721044:WLT721044 WVJ721044:WVP721044 B786580:H786580 IX786580:JD786580 ST786580:SZ786580 ACP786580:ACV786580 AML786580:AMR786580 AWH786580:AWN786580 BGD786580:BGJ786580 BPZ786580:BQF786580 BZV786580:CAB786580 CJR786580:CJX786580 CTN786580:CTT786580 DDJ786580:DDP786580 DNF786580:DNL786580 DXB786580:DXH786580 EGX786580:EHD786580 EQT786580:EQZ786580 FAP786580:FAV786580 FKL786580:FKR786580 FUH786580:FUN786580 GED786580:GEJ786580 GNZ786580:GOF786580 GXV786580:GYB786580 HHR786580:HHX786580 HRN786580:HRT786580 IBJ786580:IBP786580 ILF786580:ILL786580 IVB786580:IVH786580 JEX786580:JFD786580 JOT786580:JOZ786580 JYP786580:JYV786580 KIL786580:KIR786580 KSH786580:KSN786580 LCD786580:LCJ786580 LLZ786580:LMF786580 LVV786580:LWB786580 MFR786580:MFX786580 MPN786580:MPT786580 MZJ786580:MZP786580 NJF786580:NJL786580 NTB786580:NTH786580 OCX786580:ODD786580 OMT786580:OMZ786580 OWP786580:OWV786580 PGL786580:PGR786580 PQH786580:PQN786580 QAD786580:QAJ786580 QJZ786580:QKF786580 QTV786580:QUB786580 RDR786580:RDX786580 RNN786580:RNT786580 RXJ786580:RXP786580 SHF786580:SHL786580 SRB786580:SRH786580 TAX786580:TBD786580 TKT786580:TKZ786580 TUP786580:TUV786580 UEL786580:UER786580 UOH786580:UON786580 UYD786580:UYJ786580 VHZ786580:VIF786580 VRV786580:VSB786580 WBR786580:WBX786580 WLN786580:WLT786580 WVJ786580:WVP786580 B852116:H852116 IX852116:JD852116 ST852116:SZ852116 ACP852116:ACV852116 AML852116:AMR852116 AWH852116:AWN852116 BGD852116:BGJ852116 BPZ852116:BQF852116 BZV852116:CAB852116 CJR852116:CJX852116 CTN852116:CTT852116 DDJ852116:DDP852116 DNF852116:DNL852116 DXB852116:DXH852116 EGX852116:EHD852116 EQT852116:EQZ852116 FAP852116:FAV852116 FKL852116:FKR852116 FUH852116:FUN852116 GED852116:GEJ852116 GNZ852116:GOF852116 GXV852116:GYB852116 HHR852116:HHX852116 HRN852116:HRT852116 IBJ852116:IBP852116 ILF852116:ILL852116 IVB852116:IVH852116 JEX852116:JFD852116 JOT852116:JOZ852116 JYP852116:JYV852116 KIL852116:KIR852116 KSH852116:KSN852116 LCD852116:LCJ852116 LLZ852116:LMF852116 LVV852116:LWB852116 MFR852116:MFX852116 MPN852116:MPT852116 MZJ852116:MZP852116 NJF852116:NJL852116 NTB852116:NTH852116 OCX852116:ODD852116 OMT852116:OMZ852116 OWP852116:OWV852116 PGL852116:PGR852116 PQH852116:PQN852116 QAD852116:QAJ852116 QJZ852116:QKF852116 QTV852116:QUB852116 RDR852116:RDX852116 RNN852116:RNT852116 RXJ852116:RXP852116 SHF852116:SHL852116 SRB852116:SRH852116 TAX852116:TBD852116 TKT852116:TKZ852116 TUP852116:TUV852116 UEL852116:UER852116 UOH852116:UON852116 UYD852116:UYJ852116 VHZ852116:VIF852116 VRV852116:VSB852116 WBR852116:WBX852116 WLN852116:WLT852116 WVJ852116:WVP852116 B917652:H917652 IX917652:JD917652 ST917652:SZ917652 ACP917652:ACV917652 AML917652:AMR917652 AWH917652:AWN917652 BGD917652:BGJ917652 BPZ917652:BQF917652 BZV917652:CAB917652 CJR917652:CJX917652 CTN917652:CTT917652 DDJ917652:DDP917652 DNF917652:DNL917652 DXB917652:DXH917652 EGX917652:EHD917652 EQT917652:EQZ917652 FAP917652:FAV917652 FKL917652:FKR917652 FUH917652:FUN917652 GED917652:GEJ917652 GNZ917652:GOF917652 GXV917652:GYB917652 HHR917652:HHX917652 HRN917652:HRT917652 IBJ917652:IBP917652 ILF917652:ILL917652 IVB917652:IVH917652 JEX917652:JFD917652 JOT917652:JOZ917652 JYP917652:JYV917652 KIL917652:KIR917652 KSH917652:KSN917652 LCD917652:LCJ917652 LLZ917652:LMF917652 LVV917652:LWB917652 MFR917652:MFX917652 MPN917652:MPT917652 MZJ917652:MZP917652 NJF917652:NJL917652 NTB917652:NTH917652 OCX917652:ODD917652 OMT917652:OMZ917652 OWP917652:OWV917652 PGL917652:PGR917652 PQH917652:PQN917652 QAD917652:QAJ917652 QJZ917652:QKF917652 QTV917652:QUB917652 RDR917652:RDX917652 RNN917652:RNT917652 RXJ917652:RXP917652 SHF917652:SHL917652 SRB917652:SRH917652 TAX917652:TBD917652 TKT917652:TKZ917652 TUP917652:TUV917652 UEL917652:UER917652 UOH917652:UON917652 UYD917652:UYJ917652 VHZ917652:VIF917652 VRV917652:VSB917652 WBR917652:WBX917652 WLN917652:WLT917652 WVJ917652:WVP917652 B983188:H983188 IX983188:JD983188 ST983188:SZ983188 ACP983188:ACV983188 AML983188:AMR983188 AWH983188:AWN983188 BGD983188:BGJ983188 BPZ983188:BQF983188 BZV983188:CAB983188 CJR983188:CJX983188 CTN983188:CTT983188 DDJ983188:DDP983188 DNF983188:DNL983188 DXB983188:DXH983188 EGX983188:EHD983188 EQT983188:EQZ983188 FAP983188:FAV983188 FKL983188:FKR983188 FUH983188:FUN983188 GED983188:GEJ983188 GNZ983188:GOF983188 GXV983188:GYB983188 HHR983188:HHX983188 HRN983188:HRT983188 IBJ983188:IBP983188 ILF983188:ILL983188 IVB983188:IVH983188 JEX983188:JFD983188 JOT983188:JOZ983188 JYP983188:JYV983188 KIL983188:KIR983188 KSH983188:KSN983188 LCD983188:LCJ983188 LLZ983188:LMF983188 LVV983188:LWB983188 MFR983188:MFX983188 MPN983188:MPT983188 MZJ983188:MZP983188 NJF983188:NJL983188 NTB983188:NTH983188 OCX983188:ODD983188 OMT983188:OMZ983188 OWP983188:OWV983188 PGL983188:PGR983188 PQH983188:PQN983188 QAD983188:QAJ983188 QJZ983188:QKF983188 QTV983188:QUB983188 RDR983188:RDX983188 RNN983188:RNT983188 RXJ983188:RXP983188 SHF983188:SHL983188 SRB983188:SRH983188 TAX983188:TBD983188 TKT983188:TKZ983188 TUP983188:TUV983188 UEL983188:UER983188 UOH983188:UON983188 UYD983188:UYJ983188 VHZ983188:VIF983188 VRV983188:VSB983188 WBR983188:WBX983188 WLN983188:WLT983188 WVJ983188:WVP983188 B164:H164 IX164:JD164 ST164:SZ164 ACP164:ACV164 AML164:AMR164 AWH164:AWN164 BGD164:BGJ164 BPZ164:BQF164 BZV164:CAB164 CJR164:CJX164 CTN164:CTT164 DDJ164:DDP164 DNF164:DNL164 DXB164:DXH164 EGX164:EHD164 EQT164:EQZ164 FAP164:FAV164 FKL164:FKR164 FUH164:FUN164 GED164:GEJ164 GNZ164:GOF164 GXV164:GYB164 HHR164:HHX164 HRN164:HRT164 IBJ164:IBP164 ILF164:ILL164 IVB164:IVH164 JEX164:JFD164 JOT164:JOZ164 JYP164:JYV164 KIL164:KIR164 KSH164:KSN164 LCD164:LCJ164 LLZ164:LMF164 LVV164:LWB164 MFR164:MFX164 MPN164:MPT164 MZJ164:MZP164 NJF164:NJL164 NTB164:NTH164 OCX164:ODD164 OMT164:OMZ164 OWP164:OWV164 PGL164:PGR164 PQH164:PQN164 QAD164:QAJ164 QJZ164:QKF164 QTV164:QUB164 RDR164:RDX164 RNN164:RNT164 RXJ164:RXP164 SHF164:SHL164 SRB164:SRH164 TAX164:TBD164 TKT164:TKZ164 TUP164:TUV164 UEL164:UER164 UOH164:UON164 UYD164:UYJ164 VHZ164:VIF164 VRV164:VSB164 WBR164:WBX164 WLN164:WLT164 WVJ164:WVP164 B65700:H65700 IX65700:JD65700 ST65700:SZ65700 ACP65700:ACV65700 AML65700:AMR65700 AWH65700:AWN65700 BGD65700:BGJ65700 BPZ65700:BQF65700 BZV65700:CAB65700 CJR65700:CJX65700 CTN65700:CTT65700 DDJ65700:DDP65700 DNF65700:DNL65700 DXB65700:DXH65700 EGX65700:EHD65700 EQT65700:EQZ65700 FAP65700:FAV65700 FKL65700:FKR65700 FUH65700:FUN65700 GED65700:GEJ65700 GNZ65700:GOF65700 GXV65700:GYB65700 HHR65700:HHX65700 HRN65700:HRT65700 IBJ65700:IBP65700 ILF65700:ILL65700 IVB65700:IVH65700 JEX65700:JFD65700 JOT65700:JOZ65700 JYP65700:JYV65700 KIL65700:KIR65700 KSH65700:KSN65700 LCD65700:LCJ65700 LLZ65700:LMF65700 LVV65700:LWB65700 MFR65700:MFX65700 MPN65700:MPT65700 MZJ65700:MZP65700 NJF65700:NJL65700 NTB65700:NTH65700 OCX65700:ODD65700 OMT65700:OMZ65700 OWP65700:OWV65700 PGL65700:PGR65700 PQH65700:PQN65700 QAD65700:QAJ65700 QJZ65700:QKF65700 QTV65700:QUB65700 RDR65700:RDX65700 RNN65700:RNT65700 RXJ65700:RXP65700 SHF65700:SHL65700 SRB65700:SRH65700 TAX65700:TBD65700 TKT65700:TKZ65700 TUP65700:TUV65700 UEL65700:UER65700 UOH65700:UON65700 UYD65700:UYJ65700 VHZ65700:VIF65700 VRV65700:VSB65700 WBR65700:WBX65700 WLN65700:WLT65700 WVJ65700:WVP65700 B131236:H131236 IX131236:JD131236 ST131236:SZ131236 ACP131236:ACV131236 AML131236:AMR131236 AWH131236:AWN131236 BGD131236:BGJ131236 BPZ131236:BQF131236 BZV131236:CAB131236 CJR131236:CJX131236 CTN131236:CTT131236 DDJ131236:DDP131236 DNF131236:DNL131236 DXB131236:DXH131236 EGX131236:EHD131236 EQT131236:EQZ131236 FAP131236:FAV131236 FKL131236:FKR131236 FUH131236:FUN131236 GED131236:GEJ131236 GNZ131236:GOF131236 GXV131236:GYB131236 HHR131236:HHX131236 HRN131236:HRT131236 IBJ131236:IBP131236 ILF131236:ILL131236 IVB131236:IVH131236 JEX131236:JFD131236 JOT131236:JOZ131236 JYP131236:JYV131236 KIL131236:KIR131236 KSH131236:KSN131236 LCD131236:LCJ131236 LLZ131236:LMF131236 LVV131236:LWB131236 MFR131236:MFX131236 MPN131236:MPT131236 MZJ131236:MZP131236 NJF131236:NJL131236 NTB131236:NTH131236 OCX131236:ODD131236 OMT131236:OMZ131236 OWP131236:OWV131236 PGL131236:PGR131236 PQH131236:PQN131236 QAD131236:QAJ131236 QJZ131236:QKF131236 QTV131236:QUB131236 RDR131236:RDX131236 RNN131236:RNT131236 RXJ131236:RXP131236 SHF131236:SHL131236 SRB131236:SRH131236 TAX131236:TBD131236 TKT131236:TKZ131236 TUP131236:TUV131236 UEL131236:UER131236 UOH131236:UON131236 UYD131236:UYJ131236 VHZ131236:VIF131236 VRV131236:VSB131236 WBR131236:WBX131236 WLN131236:WLT131236 WVJ131236:WVP131236 B196772:H196772 IX196772:JD196772 ST196772:SZ196772 ACP196772:ACV196772 AML196772:AMR196772 AWH196772:AWN196772 BGD196772:BGJ196772 BPZ196772:BQF196772 BZV196772:CAB196772 CJR196772:CJX196772 CTN196772:CTT196772 DDJ196772:DDP196772 DNF196772:DNL196772 DXB196772:DXH196772 EGX196772:EHD196772 EQT196772:EQZ196772 FAP196772:FAV196772 FKL196772:FKR196772 FUH196772:FUN196772 GED196772:GEJ196772 GNZ196772:GOF196772 GXV196772:GYB196772 HHR196772:HHX196772 HRN196772:HRT196772 IBJ196772:IBP196772 ILF196772:ILL196772 IVB196772:IVH196772 JEX196772:JFD196772 JOT196772:JOZ196772 JYP196772:JYV196772 KIL196772:KIR196772 KSH196772:KSN196772 LCD196772:LCJ196772 LLZ196772:LMF196772 LVV196772:LWB196772 MFR196772:MFX196772 MPN196772:MPT196772 MZJ196772:MZP196772 NJF196772:NJL196772 NTB196772:NTH196772 OCX196772:ODD196772 OMT196772:OMZ196772 OWP196772:OWV196772 PGL196772:PGR196772 PQH196772:PQN196772 QAD196772:QAJ196772 QJZ196772:QKF196772 QTV196772:QUB196772 RDR196772:RDX196772 RNN196772:RNT196772 RXJ196772:RXP196772 SHF196772:SHL196772 SRB196772:SRH196772 TAX196772:TBD196772 TKT196772:TKZ196772 TUP196772:TUV196772 UEL196772:UER196772 UOH196772:UON196772 UYD196772:UYJ196772 VHZ196772:VIF196772 VRV196772:VSB196772 WBR196772:WBX196772 WLN196772:WLT196772 WVJ196772:WVP196772 B262308:H262308 IX262308:JD262308 ST262308:SZ262308 ACP262308:ACV262308 AML262308:AMR262308 AWH262308:AWN262308 BGD262308:BGJ262308 BPZ262308:BQF262308 BZV262308:CAB262308 CJR262308:CJX262308 CTN262308:CTT262308 DDJ262308:DDP262308 DNF262308:DNL262308 DXB262308:DXH262308 EGX262308:EHD262308 EQT262308:EQZ262308 FAP262308:FAV262308 FKL262308:FKR262308 FUH262308:FUN262308 GED262308:GEJ262308 GNZ262308:GOF262308 GXV262308:GYB262308 HHR262308:HHX262308 HRN262308:HRT262308 IBJ262308:IBP262308 ILF262308:ILL262308 IVB262308:IVH262308 JEX262308:JFD262308 JOT262308:JOZ262308 JYP262308:JYV262308 KIL262308:KIR262308 KSH262308:KSN262308 LCD262308:LCJ262308 LLZ262308:LMF262308 LVV262308:LWB262308 MFR262308:MFX262308 MPN262308:MPT262308 MZJ262308:MZP262308 NJF262308:NJL262308 NTB262308:NTH262308 OCX262308:ODD262308 OMT262308:OMZ262308 OWP262308:OWV262308 PGL262308:PGR262308 PQH262308:PQN262308 QAD262308:QAJ262308 QJZ262308:QKF262308 QTV262308:QUB262308 RDR262308:RDX262308 RNN262308:RNT262308 RXJ262308:RXP262308 SHF262308:SHL262308 SRB262308:SRH262308 TAX262308:TBD262308 TKT262308:TKZ262308 TUP262308:TUV262308 UEL262308:UER262308 UOH262308:UON262308 UYD262308:UYJ262308 VHZ262308:VIF262308 VRV262308:VSB262308 WBR262308:WBX262308 WLN262308:WLT262308 WVJ262308:WVP262308 B327844:H327844 IX327844:JD327844 ST327844:SZ327844 ACP327844:ACV327844 AML327844:AMR327844 AWH327844:AWN327844 BGD327844:BGJ327844 BPZ327844:BQF327844 BZV327844:CAB327844 CJR327844:CJX327844 CTN327844:CTT327844 DDJ327844:DDP327844 DNF327844:DNL327844 DXB327844:DXH327844 EGX327844:EHD327844 EQT327844:EQZ327844 FAP327844:FAV327844 FKL327844:FKR327844 FUH327844:FUN327844 GED327844:GEJ327844 GNZ327844:GOF327844 GXV327844:GYB327844 HHR327844:HHX327844 HRN327844:HRT327844 IBJ327844:IBP327844 ILF327844:ILL327844 IVB327844:IVH327844 JEX327844:JFD327844 JOT327844:JOZ327844 JYP327844:JYV327844 KIL327844:KIR327844 KSH327844:KSN327844 LCD327844:LCJ327844 LLZ327844:LMF327844 LVV327844:LWB327844 MFR327844:MFX327844 MPN327844:MPT327844 MZJ327844:MZP327844 NJF327844:NJL327844 NTB327844:NTH327844 OCX327844:ODD327844 OMT327844:OMZ327844 OWP327844:OWV327844 PGL327844:PGR327844 PQH327844:PQN327844 QAD327844:QAJ327844 QJZ327844:QKF327844 QTV327844:QUB327844 RDR327844:RDX327844 RNN327844:RNT327844 RXJ327844:RXP327844 SHF327844:SHL327844 SRB327844:SRH327844 TAX327844:TBD327844 TKT327844:TKZ327844 TUP327844:TUV327844 UEL327844:UER327844 UOH327844:UON327844 UYD327844:UYJ327844 VHZ327844:VIF327844 VRV327844:VSB327844 WBR327844:WBX327844 WLN327844:WLT327844 WVJ327844:WVP327844 B393380:H393380 IX393380:JD393380 ST393380:SZ393380 ACP393380:ACV393380 AML393380:AMR393380 AWH393380:AWN393380 BGD393380:BGJ393380 BPZ393380:BQF393380 BZV393380:CAB393380 CJR393380:CJX393380 CTN393380:CTT393380 DDJ393380:DDP393380 DNF393380:DNL393380 DXB393380:DXH393380 EGX393380:EHD393380 EQT393380:EQZ393380 FAP393380:FAV393380 FKL393380:FKR393380 FUH393380:FUN393380 GED393380:GEJ393380 GNZ393380:GOF393380 GXV393380:GYB393380 HHR393380:HHX393380 HRN393380:HRT393380 IBJ393380:IBP393380 ILF393380:ILL393380 IVB393380:IVH393380 JEX393380:JFD393380 JOT393380:JOZ393380 JYP393380:JYV393380 KIL393380:KIR393380 KSH393380:KSN393380 LCD393380:LCJ393380 LLZ393380:LMF393380 LVV393380:LWB393380 MFR393380:MFX393380 MPN393380:MPT393380 MZJ393380:MZP393380 NJF393380:NJL393380 NTB393380:NTH393380 OCX393380:ODD393380 OMT393380:OMZ393380 OWP393380:OWV393380 PGL393380:PGR393380 PQH393380:PQN393380 QAD393380:QAJ393380 QJZ393380:QKF393380 QTV393380:QUB393380 RDR393380:RDX393380 RNN393380:RNT393380 RXJ393380:RXP393380 SHF393380:SHL393380 SRB393380:SRH393380 TAX393380:TBD393380 TKT393380:TKZ393380 TUP393380:TUV393380 UEL393380:UER393380 UOH393380:UON393380 UYD393380:UYJ393380 VHZ393380:VIF393380 VRV393380:VSB393380 WBR393380:WBX393380 WLN393380:WLT393380 WVJ393380:WVP393380 B458916:H458916 IX458916:JD458916 ST458916:SZ458916 ACP458916:ACV458916 AML458916:AMR458916 AWH458916:AWN458916 BGD458916:BGJ458916 BPZ458916:BQF458916 BZV458916:CAB458916 CJR458916:CJX458916 CTN458916:CTT458916 DDJ458916:DDP458916 DNF458916:DNL458916 DXB458916:DXH458916 EGX458916:EHD458916 EQT458916:EQZ458916 FAP458916:FAV458916 FKL458916:FKR458916 FUH458916:FUN458916 GED458916:GEJ458916 GNZ458916:GOF458916 GXV458916:GYB458916 HHR458916:HHX458916 HRN458916:HRT458916 IBJ458916:IBP458916 ILF458916:ILL458916 IVB458916:IVH458916 JEX458916:JFD458916 JOT458916:JOZ458916 JYP458916:JYV458916 KIL458916:KIR458916 KSH458916:KSN458916 LCD458916:LCJ458916 LLZ458916:LMF458916 LVV458916:LWB458916 MFR458916:MFX458916 MPN458916:MPT458916 MZJ458916:MZP458916 NJF458916:NJL458916 NTB458916:NTH458916 OCX458916:ODD458916 OMT458916:OMZ458916 OWP458916:OWV458916 PGL458916:PGR458916 PQH458916:PQN458916 QAD458916:QAJ458916 QJZ458916:QKF458916 QTV458916:QUB458916 RDR458916:RDX458916 RNN458916:RNT458916 RXJ458916:RXP458916 SHF458916:SHL458916 SRB458916:SRH458916 TAX458916:TBD458916 TKT458916:TKZ458916 TUP458916:TUV458916 UEL458916:UER458916 UOH458916:UON458916 UYD458916:UYJ458916 VHZ458916:VIF458916 VRV458916:VSB458916 WBR458916:WBX458916 WLN458916:WLT458916 WVJ458916:WVP458916 B524452:H524452 IX524452:JD524452 ST524452:SZ524452 ACP524452:ACV524452 AML524452:AMR524452 AWH524452:AWN524452 BGD524452:BGJ524452 BPZ524452:BQF524452 BZV524452:CAB524452 CJR524452:CJX524452 CTN524452:CTT524452 DDJ524452:DDP524452 DNF524452:DNL524452 DXB524452:DXH524452 EGX524452:EHD524452 EQT524452:EQZ524452 FAP524452:FAV524452 FKL524452:FKR524452 FUH524452:FUN524452 GED524452:GEJ524452 GNZ524452:GOF524452 GXV524452:GYB524452 HHR524452:HHX524452 HRN524452:HRT524452 IBJ524452:IBP524452 ILF524452:ILL524452 IVB524452:IVH524452 JEX524452:JFD524452 JOT524452:JOZ524452 JYP524452:JYV524452 KIL524452:KIR524452 KSH524452:KSN524452 LCD524452:LCJ524452 LLZ524452:LMF524452 LVV524452:LWB524452 MFR524452:MFX524452 MPN524452:MPT524452 MZJ524452:MZP524452 NJF524452:NJL524452 NTB524452:NTH524452 OCX524452:ODD524452 OMT524452:OMZ524452 OWP524452:OWV524452 PGL524452:PGR524452 PQH524452:PQN524452 QAD524452:QAJ524452 QJZ524452:QKF524452 QTV524452:QUB524452 RDR524452:RDX524452 RNN524452:RNT524452 RXJ524452:RXP524452 SHF524452:SHL524452 SRB524452:SRH524452 TAX524452:TBD524452 TKT524452:TKZ524452 TUP524452:TUV524452 UEL524452:UER524452 UOH524452:UON524452 UYD524452:UYJ524452 VHZ524452:VIF524452 VRV524452:VSB524452 WBR524452:WBX524452 WLN524452:WLT524452 WVJ524452:WVP524452 B589988:H589988 IX589988:JD589988 ST589988:SZ589988 ACP589988:ACV589988 AML589988:AMR589988 AWH589988:AWN589988 BGD589988:BGJ589988 BPZ589988:BQF589988 BZV589988:CAB589988 CJR589988:CJX589988 CTN589988:CTT589988 DDJ589988:DDP589988 DNF589988:DNL589988 DXB589988:DXH589988 EGX589988:EHD589988 EQT589988:EQZ589988 FAP589988:FAV589988 FKL589988:FKR589988 FUH589988:FUN589988 GED589988:GEJ589988 GNZ589988:GOF589988 GXV589988:GYB589988 HHR589988:HHX589988 HRN589988:HRT589988 IBJ589988:IBP589988 ILF589988:ILL589988 IVB589988:IVH589988 JEX589988:JFD589988 JOT589988:JOZ589988 JYP589988:JYV589988 KIL589988:KIR589988 KSH589988:KSN589988 LCD589988:LCJ589988 LLZ589988:LMF589988 LVV589988:LWB589988 MFR589988:MFX589988 MPN589988:MPT589988 MZJ589988:MZP589988 NJF589988:NJL589988 NTB589988:NTH589988 OCX589988:ODD589988 OMT589988:OMZ589988 OWP589988:OWV589988 PGL589988:PGR589988 PQH589988:PQN589988 QAD589988:QAJ589988 QJZ589988:QKF589988 QTV589988:QUB589988 RDR589988:RDX589988 RNN589988:RNT589988 RXJ589988:RXP589988 SHF589988:SHL589988 SRB589988:SRH589988 TAX589988:TBD589988 TKT589988:TKZ589988 TUP589988:TUV589988 UEL589988:UER589988 UOH589988:UON589988 UYD589988:UYJ589988 VHZ589988:VIF589988 VRV589988:VSB589988 WBR589988:WBX589988 WLN589988:WLT589988 WVJ589988:WVP589988 B655524:H655524 IX655524:JD655524 ST655524:SZ655524 ACP655524:ACV655524 AML655524:AMR655524 AWH655524:AWN655524 BGD655524:BGJ655524 BPZ655524:BQF655524 BZV655524:CAB655524 CJR655524:CJX655524 CTN655524:CTT655524 DDJ655524:DDP655524 DNF655524:DNL655524 DXB655524:DXH655524 EGX655524:EHD655524 EQT655524:EQZ655524 FAP655524:FAV655524 FKL655524:FKR655524 FUH655524:FUN655524 GED655524:GEJ655524 GNZ655524:GOF655524 GXV655524:GYB655524 HHR655524:HHX655524 HRN655524:HRT655524 IBJ655524:IBP655524 ILF655524:ILL655524 IVB655524:IVH655524 JEX655524:JFD655524 JOT655524:JOZ655524 JYP655524:JYV655524 KIL655524:KIR655524 KSH655524:KSN655524 LCD655524:LCJ655524 LLZ655524:LMF655524 LVV655524:LWB655524 MFR655524:MFX655524 MPN655524:MPT655524 MZJ655524:MZP655524 NJF655524:NJL655524 NTB655524:NTH655524 OCX655524:ODD655524 OMT655524:OMZ655524 OWP655524:OWV655524 PGL655524:PGR655524 PQH655524:PQN655524 QAD655524:QAJ655524 QJZ655524:QKF655524 QTV655524:QUB655524 RDR655524:RDX655524 RNN655524:RNT655524 RXJ655524:RXP655524 SHF655524:SHL655524 SRB655524:SRH655524 TAX655524:TBD655524 TKT655524:TKZ655524 TUP655524:TUV655524 UEL655524:UER655524 UOH655524:UON655524 UYD655524:UYJ655524 VHZ655524:VIF655524 VRV655524:VSB655524 WBR655524:WBX655524 WLN655524:WLT655524 WVJ655524:WVP655524 B721060:H721060 IX721060:JD721060 ST721060:SZ721060 ACP721060:ACV721060 AML721060:AMR721060 AWH721060:AWN721060 BGD721060:BGJ721060 BPZ721060:BQF721060 BZV721060:CAB721060 CJR721060:CJX721060 CTN721060:CTT721060 DDJ721060:DDP721060 DNF721060:DNL721060 DXB721060:DXH721060 EGX721060:EHD721060 EQT721060:EQZ721060 FAP721060:FAV721060 FKL721060:FKR721060 FUH721060:FUN721060 GED721060:GEJ721060 GNZ721060:GOF721060 GXV721060:GYB721060 HHR721060:HHX721060 HRN721060:HRT721060 IBJ721060:IBP721060 ILF721060:ILL721060 IVB721060:IVH721060 JEX721060:JFD721060 JOT721060:JOZ721060 JYP721060:JYV721060 KIL721060:KIR721060 KSH721060:KSN721060 LCD721060:LCJ721060 LLZ721060:LMF721060 LVV721060:LWB721060 MFR721060:MFX721060 MPN721060:MPT721060 MZJ721060:MZP721060 NJF721060:NJL721060 NTB721060:NTH721060 OCX721060:ODD721060 OMT721060:OMZ721060 OWP721060:OWV721060 PGL721060:PGR721060 PQH721060:PQN721060 QAD721060:QAJ721060 QJZ721060:QKF721060 QTV721060:QUB721060 RDR721060:RDX721060 RNN721060:RNT721060 RXJ721060:RXP721060 SHF721060:SHL721060 SRB721060:SRH721060 TAX721060:TBD721060 TKT721060:TKZ721060 TUP721060:TUV721060 UEL721060:UER721060 UOH721060:UON721060 UYD721060:UYJ721060 VHZ721060:VIF721060 VRV721060:VSB721060 WBR721060:WBX721060 WLN721060:WLT721060 WVJ721060:WVP721060 B786596:H786596 IX786596:JD786596 ST786596:SZ786596 ACP786596:ACV786596 AML786596:AMR786596 AWH786596:AWN786596 BGD786596:BGJ786596 BPZ786596:BQF786596 BZV786596:CAB786596 CJR786596:CJX786596 CTN786596:CTT786596 DDJ786596:DDP786596 DNF786596:DNL786596 DXB786596:DXH786596 EGX786596:EHD786596 EQT786596:EQZ786596 FAP786596:FAV786596 FKL786596:FKR786596 FUH786596:FUN786596 GED786596:GEJ786596 GNZ786596:GOF786596 GXV786596:GYB786596 HHR786596:HHX786596 HRN786596:HRT786596 IBJ786596:IBP786596 ILF786596:ILL786596 IVB786596:IVH786596 JEX786596:JFD786596 JOT786596:JOZ786596 JYP786596:JYV786596 KIL786596:KIR786596 KSH786596:KSN786596 LCD786596:LCJ786596 LLZ786596:LMF786596 LVV786596:LWB786596 MFR786596:MFX786596 MPN786596:MPT786596 MZJ786596:MZP786596 NJF786596:NJL786596 NTB786596:NTH786596 OCX786596:ODD786596 OMT786596:OMZ786596 OWP786596:OWV786596 PGL786596:PGR786596 PQH786596:PQN786596 QAD786596:QAJ786596 QJZ786596:QKF786596 QTV786596:QUB786596 RDR786596:RDX786596 RNN786596:RNT786596 RXJ786596:RXP786596 SHF786596:SHL786596 SRB786596:SRH786596 TAX786596:TBD786596 TKT786596:TKZ786596 TUP786596:TUV786596 UEL786596:UER786596 UOH786596:UON786596 UYD786596:UYJ786596 VHZ786596:VIF786596 VRV786596:VSB786596 WBR786596:WBX786596 WLN786596:WLT786596 WVJ786596:WVP786596 B852132:H852132 IX852132:JD852132 ST852132:SZ852132 ACP852132:ACV852132 AML852132:AMR852132 AWH852132:AWN852132 BGD852132:BGJ852132 BPZ852132:BQF852132 BZV852132:CAB852132 CJR852132:CJX852132 CTN852132:CTT852132 DDJ852132:DDP852132 DNF852132:DNL852132 DXB852132:DXH852132 EGX852132:EHD852132 EQT852132:EQZ852132 FAP852132:FAV852132 FKL852132:FKR852132 FUH852132:FUN852132 GED852132:GEJ852132 GNZ852132:GOF852132 GXV852132:GYB852132 HHR852132:HHX852132 HRN852132:HRT852132 IBJ852132:IBP852132 ILF852132:ILL852132 IVB852132:IVH852132 JEX852132:JFD852132 JOT852132:JOZ852132 JYP852132:JYV852132 KIL852132:KIR852132 KSH852132:KSN852132 LCD852132:LCJ852132 LLZ852132:LMF852132 LVV852132:LWB852132 MFR852132:MFX852132 MPN852132:MPT852132 MZJ852132:MZP852132 NJF852132:NJL852132 NTB852132:NTH852132 OCX852132:ODD852132 OMT852132:OMZ852132 OWP852132:OWV852132 PGL852132:PGR852132 PQH852132:PQN852132 QAD852132:QAJ852132 QJZ852132:QKF852132 QTV852132:QUB852132 RDR852132:RDX852132 RNN852132:RNT852132 RXJ852132:RXP852132 SHF852132:SHL852132 SRB852132:SRH852132 TAX852132:TBD852132 TKT852132:TKZ852132 TUP852132:TUV852132 UEL852132:UER852132 UOH852132:UON852132 UYD852132:UYJ852132 VHZ852132:VIF852132 VRV852132:VSB852132 WBR852132:WBX852132 WLN852132:WLT852132 WVJ852132:WVP852132 B917668:H917668 IX917668:JD917668 ST917668:SZ917668 ACP917668:ACV917668 AML917668:AMR917668 AWH917668:AWN917668 BGD917668:BGJ917668 BPZ917668:BQF917668 BZV917668:CAB917668 CJR917668:CJX917668 CTN917668:CTT917668 DDJ917668:DDP917668 DNF917668:DNL917668 DXB917668:DXH917668 EGX917668:EHD917668 EQT917668:EQZ917668 FAP917668:FAV917668 FKL917668:FKR917668 FUH917668:FUN917668 GED917668:GEJ917668 GNZ917668:GOF917668 GXV917668:GYB917668 HHR917668:HHX917668 HRN917668:HRT917668 IBJ917668:IBP917668 ILF917668:ILL917668 IVB917668:IVH917668 JEX917668:JFD917668 JOT917668:JOZ917668 JYP917668:JYV917668 KIL917668:KIR917668 KSH917668:KSN917668 LCD917668:LCJ917668 LLZ917668:LMF917668 LVV917668:LWB917668 MFR917668:MFX917668 MPN917668:MPT917668 MZJ917668:MZP917668 NJF917668:NJL917668 NTB917668:NTH917668 OCX917668:ODD917668 OMT917668:OMZ917668 OWP917668:OWV917668 PGL917668:PGR917668 PQH917668:PQN917668 QAD917668:QAJ917668 QJZ917668:QKF917668 QTV917668:QUB917668 RDR917668:RDX917668 RNN917668:RNT917668 RXJ917668:RXP917668 SHF917668:SHL917668 SRB917668:SRH917668 TAX917668:TBD917668 TKT917668:TKZ917668 TUP917668:TUV917668 UEL917668:UER917668 UOH917668:UON917668 UYD917668:UYJ917668 VHZ917668:VIF917668 VRV917668:VSB917668 WBR917668:WBX917668 WLN917668:WLT917668 WVJ917668:WVP917668 B983204:H983204 IX983204:JD983204 ST983204:SZ983204 ACP983204:ACV983204 AML983204:AMR983204 AWH983204:AWN983204 BGD983204:BGJ983204 BPZ983204:BQF983204 BZV983204:CAB983204 CJR983204:CJX983204 CTN983204:CTT983204 DDJ983204:DDP983204 DNF983204:DNL983204 DXB983204:DXH983204 EGX983204:EHD983204 EQT983204:EQZ983204 FAP983204:FAV983204 FKL983204:FKR983204 FUH983204:FUN983204 GED983204:GEJ983204 GNZ983204:GOF983204 GXV983204:GYB983204 HHR983204:HHX983204 HRN983204:HRT983204 IBJ983204:IBP983204 ILF983204:ILL983204 IVB983204:IVH983204 JEX983204:JFD983204 JOT983204:JOZ983204 JYP983204:JYV983204 KIL983204:KIR983204 KSH983204:KSN983204 LCD983204:LCJ983204 LLZ983204:LMF983204 LVV983204:LWB983204 MFR983204:MFX983204 MPN983204:MPT983204 MZJ983204:MZP983204 NJF983204:NJL983204 NTB983204:NTH983204 OCX983204:ODD983204 OMT983204:OMZ983204 OWP983204:OWV983204 PGL983204:PGR983204 PQH983204:PQN983204 QAD983204:QAJ983204 QJZ983204:QKF983204 QTV983204:QUB983204 RDR983204:RDX983204 RNN983204:RNT983204 RXJ983204:RXP983204 SHF983204:SHL983204 SRB983204:SRH983204 TAX983204:TBD983204 TKT983204:TKZ983204 TUP983204:TUV983204 UEL983204:UER983204 UOH983204:UON983204 UYD983204:UYJ983204 VHZ983204:VIF983204 VRV983204:VSB983204 WBR983204:WBX983204 WLN983204:WLT983204 WVJ983204:WVP983204 B180:H180 IX180:JD180 ST180:SZ180 ACP180:ACV180 AML180:AMR180 AWH180:AWN180 BGD180:BGJ180 BPZ180:BQF180 BZV180:CAB180 CJR180:CJX180 CTN180:CTT180 DDJ180:DDP180 DNF180:DNL180 DXB180:DXH180 EGX180:EHD180 EQT180:EQZ180 FAP180:FAV180 FKL180:FKR180 FUH180:FUN180 GED180:GEJ180 GNZ180:GOF180 GXV180:GYB180 HHR180:HHX180 HRN180:HRT180 IBJ180:IBP180 ILF180:ILL180 IVB180:IVH180 JEX180:JFD180 JOT180:JOZ180 JYP180:JYV180 KIL180:KIR180 KSH180:KSN180 LCD180:LCJ180 LLZ180:LMF180 LVV180:LWB180 MFR180:MFX180 MPN180:MPT180 MZJ180:MZP180 NJF180:NJL180 NTB180:NTH180 OCX180:ODD180 OMT180:OMZ180 OWP180:OWV180 PGL180:PGR180 PQH180:PQN180 QAD180:QAJ180 QJZ180:QKF180 QTV180:QUB180 RDR180:RDX180 RNN180:RNT180 RXJ180:RXP180 SHF180:SHL180 SRB180:SRH180 TAX180:TBD180 TKT180:TKZ180 TUP180:TUV180 UEL180:UER180 UOH180:UON180 UYD180:UYJ180 VHZ180:VIF180 VRV180:VSB180 WBR180:WBX180 WLN180:WLT180 WVJ180:WVP180 B65716:H65716 IX65716:JD65716 ST65716:SZ65716 ACP65716:ACV65716 AML65716:AMR65716 AWH65716:AWN65716 BGD65716:BGJ65716 BPZ65716:BQF65716 BZV65716:CAB65716 CJR65716:CJX65716 CTN65716:CTT65716 DDJ65716:DDP65716 DNF65716:DNL65716 DXB65716:DXH65716 EGX65716:EHD65716 EQT65716:EQZ65716 FAP65716:FAV65716 FKL65716:FKR65716 FUH65716:FUN65716 GED65716:GEJ65716 GNZ65716:GOF65716 GXV65716:GYB65716 HHR65716:HHX65716 HRN65716:HRT65716 IBJ65716:IBP65716 ILF65716:ILL65716 IVB65716:IVH65716 JEX65716:JFD65716 JOT65716:JOZ65716 JYP65716:JYV65716 KIL65716:KIR65716 KSH65716:KSN65716 LCD65716:LCJ65716 LLZ65716:LMF65716 LVV65716:LWB65716 MFR65716:MFX65716 MPN65716:MPT65716 MZJ65716:MZP65716 NJF65716:NJL65716 NTB65716:NTH65716 OCX65716:ODD65716 OMT65716:OMZ65716 OWP65716:OWV65716 PGL65716:PGR65716 PQH65716:PQN65716 QAD65716:QAJ65716 QJZ65716:QKF65716 QTV65716:QUB65716 RDR65716:RDX65716 RNN65716:RNT65716 RXJ65716:RXP65716 SHF65716:SHL65716 SRB65716:SRH65716 TAX65716:TBD65716 TKT65716:TKZ65716 TUP65716:TUV65716 UEL65716:UER65716 UOH65716:UON65716 UYD65716:UYJ65716 VHZ65716:VIF65716 VRV65716:VSB65716 WBR65716:WBX65716 WLN65716:WLT65716 WVJ65716:WVP65716 B131252:H131252 IX131252:JD131252 ST131252:SZ131252 ACP131252:ACV131252 AML131252:AMR131252 AWH131252:AWN131252 BGD131252:BGJ131252 BPZ131252:BQF131252 BZV131252:CAB131252 CJR131252:CJX131252 CTN131252:CTT131252 DDJ131252:DDP131252 DNF131252:DNL131252 DXB131252:DXH131252 EGX131252:EHD131252 EQT131252:EQZ131252 FAP131252:FAV131252 FKL131252:FKR131252 FUH131252:FUN131252 GED131252:GEJ131252 GNZ131252:GOF131252 GXV131252:GYB131252 HHR131252:HHX131252 HRN131252:HRT131252 IBJ131252:IBP131252 ILF131252:ILL131252 IVB131252:IVH131252 JEX131252:JFD131252 JOT131252:JOZ131252 JYP131252:JYV131252 KIL131252:KIR131252 KSH131252:KSN131252 LCD131252:LCJ131252 LLZ131252:LMF131252 LVV131252:LWB131252 MFR131252:MFX131252 MPN131252:MPT131252 MZJ131252:MZP131252 NJF131252:NJL131252 NTB131252:NTH131252 OCX131252:ODD131252 OMT131252:OMZ131252 OWP131252:OWV131252 PGL131252:PGR131252 PQH131252:PQN131252 QAD131252:QAJ131252 QJZ131252:QKF131252 QTV131252:QUB131252 RDR131252:RDX131252 RNN131252:RNT131252 RXJ131252:RXP131252 SHF131252:SHL131252 SRB131252:SRH131252 TAX131252:TBD131252 TKT131252:TKZ131252 TUP131252:TUV131252 UEL131252:UER131252 UOH131252:UON131252 UYD131252:UYJ131252 VHZ131252:VIF131252 VRV131252:VSB131252 WBR131252:WBX131252 WLN131252:WLT131252 WVJ131252:WVP131252 B196788:H196788 IX196788:JD196788 ST196788:SZ196788 ACP196788:ACV196788 AML196788:AMR196788 AWH196788:AWN196788 BGD196788:BGJ196788 BPZ196788:BQF196788 BZV196788:CAB196788 CJR196788:CJX196788 CTN196788:CTT196788 DDJ196788:DDP196788 DNF196788:DNL196788 DXB196788:DXH196788 EGX196788:EHD196788 EQT196788:EQZ196788 FAP196788:FAV196788 FKL196788:FKR196788 FUH196788:FUN196788 GED196788:GEJ196788 GNZ196788:GOF196788 GXV196788:GYB196788 HHR196788:HHX196788 HRN196788:HRT196788 IBJ196788:IBP196788 ILF196788:ILL196788 IVB196788:IVH196788 JEX196788:JFD196788 JOT196788:JOZ196788 JYP196788:JYV196788 KIL196788:KIR196788 KSH196788:KSN196788 LCD196788:LCJ196788 LLZ196788:LMF196788 LVV196788:LWB196788 MFR196788:MFX196788 MPN196788:MPT196788 MZJ196788:MZP196788 NJF196788:NJL196788 NTB196788:NTH196788 OCX196788:ODD196788 OMT196788:OMZ196788 OWP196788:OWV196788 PGL196788:PGR196788 PQH196788:PQN196788 QAD196788:QAJ196788 QJZ196788:QKF196788 QTV196788:QUB196788 RDR196788:RDX196788 RNN196788:RNT196788 RXJ196788:RXP196788 SHF196788:SHL196788 SRB196788:SRH196788 TAX196788:TBD196788 TKT196788:TKZ196788 TUP196788:TUV196788 UEL196788:UER196788 UOH196788:UON196788 UYD196788:UYJ196788 VHZ196788:VIF196788 VRV196788:VSB196788 WBR196788:WBX196788 WLN196788:WLT196788 WVJ196788:WVP196788 B262324:H262324 IX262324:JD262324 ST262324:SZ262324 ACP262324:ACV262324 AML262324:AMR262324 AWH262324:AWN262324 BGD262324:BGJ262324 BPZ262324:BQF262324 BZV262324:CAB262324 CJR262324:CJX262324 CTN262324:CTT262324 DDJ262324:DDP262324 DNF262324:DNL262324 DXB262324:DXH262324 EGX262324:EHD262324 EQT262324:EQZ262324 FAP262324:FAV262324 FKL262324:FKR262324 FUH262324:FUN262324 GED262324:GEJ262324 GNZ262324:GOF262324 GXV262324:GYB262324 HHR262324:HHX262324 HRN262324:HRT262324 IBJ262324:IBP262324 ILF262324:ILL262324 IVB262324:IVH262324 JEX262324:JFD262324 JOT262324:JOZ262324 JYP262324:JYV262324 KIL262324:KIR262324 KSH262324:KSN262324 LCD262324:LCJ262324 LLZ262324:LMF262324 LVV262324:LWB262324 MFR262324:MFX262324 MPN262324:MPT262324 MZJ262324:MZP262324 NJF262324:NJL262324 NTB262324:NTH262324 OCX262324:ODD262324 OMT262324:OMZ262324 OWP262324:OWV262324 PGL262324:PGR262324 PQH262324:PQN262324 QAD262324:QAJ262324 QJZ262324:QKF262324 QTV262324:QUB262324 RDR262324:RDX262324 RNN262324:RNT262324 RXJ262324:RXP262324 SHF262324:SHL262324 SRB262324:SRH262324 TAX262324:TBD262324 TKT262324:TKZ262324 TUP262324:TUV262324 UEL262324:UER262324 UOH262324:UON262324 UYD262324:UYJ262324 VHZ262324:VIF262324 VRV262324:VSB262324 WBR262324:WBX262324 WLN262324:WLT262324 WVJ262324:WVP262324 B327860:H327860 IX327860:JD327860 ST327860:SZ327860 ACP327860:ACV327860 AML327860:AMR327860 AWH327860:AWN327860 BGD327860:BGJ327860 BPZ327860:BQF327860 BZV327860:CAB327860 CJR327860:CJX327860 CTN327860:CTT327860 DDJ327860:DDP327860 DNF327860:DNL327860 DXB327860:DXH327860 EGX327860:EHD327860 EQT327860:EQZ327860 FAP327860:FAV327860 FKL327860:FKR327860 FUH327860:FUN327860 GED327860:GEJ327860 GNZ327860:GOF327860 GXV327860:GYB327860 HHR327860:HHX327860 HRN327860:HRT327860 IBJ327860:IBP327860 ILF327860:ILL327860 IVB327860:IVH327860 JEX327860:JFD327860 JOT327860:JOZ327860 JYP327860:JYV327860 KIL327860:KIR327860 KSH327860:KSN327860 LCD327860:LCJ327860 LLZ327860:LMF327860 LVV327860:LWB327860 MFR327860:MFX327860 MPN327860:MPT327860 MZJ327860:MZP327860 NJF327860:NJL327860 NTB327860:NTH327860 OCX327860:ODD327860 OMT327860:OMZ327860 OWP327860:OWV327860 PGL327860:PGR327860 PQH327860:PQN327860 QAD327860:QAJ327860 QJZ327860:QKF327860 QTV327860:QUB327860 RDR327860:RDX327860 RNN327860:RNT327860 RXJ327860:RXP327860 SHF327860:SHL327860 SRB327860:SRH327860 TAX327860:TBD327860 TKT327860:TKZ327860 TUP327860:TUV327860 UEL327860:UER327860 UOH327860:UON327860 UYD327860:UYJ327860 VHZ327860:VIF327860 VRV327860:VSB327860 WBR327860:WBX327860 WLN327860:WLT327860 WVJ327860:WVP327860 B393396:H393396 IX393396:JD393396 ST393396:SZ393396 ACP393396:ACV393396 AML393396:AMR393396 AWH393396:AWN393396 BGD393396:BGJ393396 BPZ393396:BQF393396 BZV393396:CAB393396 CJR393396:CJX393396 CTN393396:CTT393396 DDJ393396:DDP393396 DNF393396:DNL393396 DXB393396:DXH393396 EGX393396:EHD393396 EQT393396:EQZ393396 FAP393396:FAV393396 FKL393396:FKR393396 FUH393396:FUN393396 GED393396:GEJ393396 GNZ393396:GOF393396 GXV393396:GYB393396 HHR393396:HHX393396 HRN393396:HRT393396 IBJ393396:IBP393396 ILF393396:ILL393396 IVB393396:IVH393396 JEX393396:JFD393396 JOT393396:JOZ393396 JYP393396:JYV393396 KIL393396:KIR393396 KSH393396:KSN393396 LCD393396:LCJ393396 LLZ393396:LMF393396 LVV393396:LWB393396 MFR393396:MFX393396 MPN393396:MPT393396 MZJ393396:MZP393396 NJF393396:NJL393396 NTB393396:NTH393396 OCX393396:ODD393396 OMT393396:OMZ393396 OWP393396:OWV393396 PGL393396:PGR393396 PQH393396:PQN393396 QAD393396:QAJ393396 QJZ393396:QKF393396 QTV393396:QUB393396 RDR393396:RDX393396 RNN393396:RNT393396 RXJ393396:RXP393396 SHF393396:SHL393396 SRB393396:SRH393396 TAX393396:TBD393396 TKT393396:TKZ393396 TUP393396:TUV393396 UEL393396:UER393396 UOH393396:UON393396 UYD393396:UYJ393396 VHZ393396:VIF393396 VRV393396:VSB393396 WBR393396:WBX393396 WLN393396:WLT393396 WVJ393396:WVP393396 B458932:H458932 IX458932:JD458932 ST458932:SZ458932 ACP458932:ACV458932 AML458932:AMR458932 AWH458932:AWN458932 BGD458932:BGJ458932 BPZ458932:BQF458932 BZV458932:CAB458932 CJR458932:CJX458932 CTN458932:CTT458932 DDJ458932:DDP458932 DNF458932:DNL458932 DXB458932:DXH458932 EGX458932:EHD458932 EQT458932:EQZ458932 FAP458932:FAV458932 FKL458932:FKR458932 FUH458932:FUN458932 GED458932:GEJ458932 GNZ458932:GOF458932 GXV458932:GYB458932 HHR458932:HHX458932 HRN458932:HRT458932 IBJ458932:IBP458932 ILF458932:ILL458932 IVB458932:IVH458932 JEX458932:JFD458932 JOT458932:JOZ458932 JYP458932:JYV458932 KIL458932:KIR458932 KSH458932:KSN458932 LCD458932:LCJ458932 LLZ458932:LMF458932 LVV458932:LWB458932 MFR458932:MFX458932 MPN458932:MPT458932 MZJ458932:MZP458932 NJF458932:NJL458932 NTB458932:NTH458932 OCX458932:ODD458932 OMT458932:OMZ458932 OWP458932:OWV458932 PGL458932:PGR458932 PQH458932:PQN458932 QAD458932:QAJ458932 QJZ458932:QKF458932 QTV458932:QUB458932 RDR458932:RDX458932 RNN458932:RNT458932 RXJ458932:RXP458932 SHF458932:SHL458932 SRB458932:SRH458932 TAX458932:TBD458932 TKT458932:TKZ458932 TUP458932:TUV458932 UEL458932:UER458932 UOH458932:UON458932 UYD458932:UYJ458932 VHZ458932:VIF458932 VRV458932:VSB458932 WBR458932:WBX458932 WLN458932:WLT458932 WVJ458932:WVP458932 B524468:H524468 IX524468:JD524468 ST524468:SZ524468 ACP524468:ACV524468 AML524468:AMR524468 AWH524468:AWN524468 BGD524468:BGJ524468 BPZ524468:BQF524468 BZV524468:CAB524468 CJR524468:CJX524468 CTN524468:CTT524468 DDJ524468:DDP524468 DNF524468:DNL524468 DXB524468:DXH524468 EGX524468:EHD524468 EQT524468:EQZ524468 FAP524468:FAV524468 FKL524468:FKR524468 FUH524468:FUN524468 GED524468:GEJ524468 GNZ524468:GOF524468 GXV524468:GYB524468 HHR524468:HHX524468 HRN524468:HRT524468 IBJ524468:IBP524468 ILF524468:ILL524468 IVB524468:IVH524468 JEX524468:JFD524468 JOT524468:JOZ524468 JYP524468:JYV524468 KIL524468:KIR524468 KSH524468:KSN524468 LCD524468:LCJ524468 LLZ524468:LMF524468 LVV524468:LWB524468 MFR524468:MFX524468 MPN524468:MPT524468 MZJ524468:MZP524468 NJF524468:NJL524468 NTB524468:NTH524468 OCX524468:ODD524468 OMT524468:OMZ524468 OWP524468:OWV524468 PGL524468:PGR524468 PQH524468:PQN524468 QAD524468:QAJ524468 QJZ524468:QKF524468 QTV524468:QUB524468 RDR524468:RDX524468 RNN524468:RNT524468 RXJ524468:RXP524468 SHF524468:SHL524468 SRB524468:SRH524468 TAX524468:TBD524468 TKT524468:TKZ524468 TUP524468:TUV524468 UEL524468:UER524468 UOH524468:UON524468 UYD524468:UYJ524468 VHZ524468:VIF524468 VRV524468:VSB524468 WBR524468:WBX524468 WLN524468:WLT524468 WVJ524468:WVP524468 B590004:H590004 IX590004:JD590004 ST590004:SZ590004 ACP590004:ACV590004 AML590004:AMR590004 AWH590004:AWN590004 BGD590004:BGJ590004 BPZ590004:BQF590004 BZV590004:CAB590004 CJR590004:CJX590004 CTN590004:CTT590004 DDJ590004:DDP590004 DNF590004:DNL590004 DXB590004:DXH590004 EGX590004:EHD590004 EQT590004:EQZ590004 FAP590004:FAV590004 FKL590004:FKR590004 FUH590004:FUN590004 GED590004:GEJ590004 GNZ590004:GOF590004 GXV590004:GYB590004 HHR590004:HHX590004 HRN590004:HRT590004 IBJ590004:IBP590004 ILF590004:ILL590004 IVB590004:IVH590004 JEX590004:JFD590004 JOT590004:JOZ590004 JYP590004:JYV590004 KIL590004:KIR590004 KSH590004:KSN590004 LCD590004:LCJ590004 LLZ590004:LMF590004 LVV590004:LWB590004 MFR590004:MFX590004 MPN590004:MPT590004 MZJ590004:MZP590004 NJF590004:NJL590004 NTB590004:NTH590004 OCX590004:ODD590004 OMT590004:OMZ590004 OWP590004:OWV590004 PGL590004:PGR590004 PQH590004:PQN590004 QAD590004:QAJ590004 QJZ590004:QKF590004 QTV590004:QUB590004 RDR590004:RDX590004 RNN590004:RNT590004 RXJ590004:RXP590004 SHF590004:SHL590004 SRB590004:SRH590004 TAX590004:TBD590004 TKT590004:TKZ590004 TUP590004:TUV590004 UEL590004:UER590004 UOH590004:UON590004 UYD590004:UYJ590004 VHZ590004:VIF590004 VRV590004:VSB590004 WBR590004:WBX590004 WLN590004:WLT590004 WVJ590004:WVP590004 B655540:H655540 IX655540:JD655540 ST655540:SZ655540 ACP655540:ACV655540 AML655540:AMR655540 AWH655540:AWN655540 BGD655540:BGJ655540 BPZ655540:BQF655540 BZV655540:CAB655540 CJR655540:CJX655540 CTN655540:CTT655540 DDJ655540:DDP655540 DNF655540:DNL655540 DXB655540:DXH655540 EGX655540:EHD655540 EQT655540:EQZ655540 FAP655540:FAV655540 FKL655540:FKR655540 FUH655540:FUN655540 GED655540:GEJ655540 GNZ655540:GOF655540 GXV655540:GYB655540 HHR655540:HHX655540 HRN655540:HRT655540 IBJ655540:IBP655540 ILF655540:ILL655540 IVB655540:IVH655540 JEX655540:JFD655540 JOT655540:JOZ655540 JYP655540:JYV655540 KIL655540:KIR655540 KSH655540:KSN655540 LCD655540:LCJ655540 LLZ655540:LMF655540 LVV655540:LWB655540 MFR655540:MFX655540 MPN655540:MPT655540 MZJ655540:MZP655540 NJF655540:NJL655540 NTB655540:NTH655540 OCX655540:ODD655540 OMT655540:OMZ655540 OWP655540:OWV655540 PGL655540:PGR655540 PQH655540:PQN655540 QAD655540:QAJ655540 QJZ655540:QKF655540 QTV655540:QUB655540 RDR655540:RDX655540 RNN655540:RNT655540 RXJ655540:RXP655540 SHF655540:SHL655540 SRB655540:SRH655540 TAX655540:TBD655540 TKT655540:TKZ655540 TUP655540:TUV655540 UEL655540:UER655540 UOH655540:UON655540 UYD655540:UYJ655540 VHZ655540:VIF655540 VRV655540:VSB655540 WBR655540:WBX655540 WLN655540:WLT655540 WVJ655540:WVP655540 B721076:H721076 IX721076:JD721076 ST721076:SZ721076 ACP721076:ACV721076 AML721076:AMR721076 AWH721076:AWN721076 BGD721076:BGJ721076 BPZ721076:BQF721076 BZV721076:CAB721076 CJR721076:CJX721076 CTN721076:CTT721076 DDJ721076:DDP721076 DNF721076:DNL721076 DXB721076:DXH721076 EGX721076:EHD721076 EQT721076:EQZ721076 FAP721076:FAV721076 FKL721076:FKR721076 FUH721076:FUN721076 GED721076:GEJ721076 GNZ721076:GOF721076 GXV721076:GYB721076 HHR721076:HHX721076 HRN721076:HRT721076 IBJ721076:IBP721076 ILF721076:ILL721076 IVB721076:IVH721076 JEX721076:JFD721076 JOT721076:JOZ721076 JYP721076:JYV721076 KIL721076:KIR721076 KSH721076:KSN721076 LCD721076:LCJ721076 LLZ721076:LMF721076 LVV721076:LWB721076 MFR721076:MFX721076 MPN721076:MPT721076 MZJ721076:MZP721076 NJF721076:NJL721076 NTB721076:NTH721076 OCX721076:ODD721076 OMT721076:OMZ721076 OWP721076:OWV721076 PGL721076:PGR721076 PQH721076:PQN721076 QAD721076:QAJ721076 QJZ721076:QKF721076 QTV721076:QUB721076 RDR721076:RDX721076 RNN721076:RNT721076 RXJ721076:RXP721076 SHF721076:SHL721076 SRB721076:SRH721076 TAX721076:TBD721076 TKT721076:TKZ721076 TUP721076:TUV721076 UEL721076:UER721076 UOH721076:UON721076 UYD721076:UYJ721076 VHZ721076:VIF721076 VRV721076:VSB721076 WBR721076:WBX721076 WLN721076:WLT721076 WVJ721076:WVP721076 B786612:H786612 IX786612:JD786612 ST786612:SZ786612 ACP786612:ACV786612 AML786612:AMR786612 AWH786612:AWN786612 BGD786612:BGJ786612 BPZ786612:BQF786612 BZV786612:CAB786612 CJR786612:CJX786612 CTN786612:CTT786612 DDJ786612:DDP786612 DNF786612:DNL786612 DXB786612:DXH786612 EGX786612:EHD786612 EQT786612:EQZ786612 FAP786612:FAV786612 FKL786612:FKR786612 FUH786612:FUN786612 GED786612:GEJ786612 GNZ786612:GOF786612 GXV786612:GYB786612 HHR786612:HHX786612 HRN786612:HRT786612 IBJ786612:IBP786612 ILF786612:ILL786612 IVB786612:IVH786612 JEX786612:JFD786612 JOT786612:JOZ786612 JYP786612:JYV786612 KIL786612:KIR786612 KSH786612:KSN786612 LCD786612:LCJ786612 LLZ786612:LMF786612 LVV786612:LWB786612 MFR786612:MFX786612 MPN786612:MPT786612 MZJ786612:MZP786612 NJF786612:NJL786612 NTB786612:NTH786612 OCX786612:ODD786612 OMT786612:OMZ786612 OWP786612:OWV786612 PGL786612:PGR786612 PQH786612:PQN786612 QAD786612:QAJ786612 QJZ786612:QKF786612 QTV786612:QUB786612 RDR786612:RDX786612 RNN786612:RNT786612 RXJ786612:RXP786612 SHF786612:SHL786612 SRB786612:SRH786612 TAX786612:TBD786612 TKT786612:TKZ786612 TUP786612:TUV786612 UEL786612:UER786612 UOH786612:UON786612 UYD786612:UYJ786612 VHZ786612:VIF786612 VRV786612:VSB786612 WBR786612:WBX786612 WLN786612:WLT786612 WVJ786612:WVP786612 B852148:H852148 IX852148:JD852148 ST852148:SZ852148 ACP852148:ACV852148 AML852148:AMR852148 AWH852148:AWN852148 BGD852148:BGJ852148 BPZ852148:BQF852148 BZV852148:CAB852148 CJR852148:CJX852148 CTN852148:CTT852148 DDJ852148:DDP852148 DNF852148:DNL852148 DXB852148:DXH852148 EGX852148:EHD852148 EQT852148:EQZ852148 FAP852148:FAV852148 FKL852148:FKR852148 FUH852148:FUN852148 GED852148:GEJ852148 GNZ852148:GOF852148 GXV852148:GYB852148 HHR852148:HHX852148 HRN852148:HRT852148 IBJ852148:IBP852148 ILF852148:ILL852148 IVB852148:IVH852148 JEX852148:JFD852148 JOT852148:JOZ852148 JYP852148:JYV852148 KIL852148:KIR852148 KSH852148:KSN852148 LCD852148:LCJ852148 LLZ852148:LMF852148 LVV852148:LWB852148 MFR852148:MFX852148 MPN852148:MPT852148 MZJ852148:MZP852148 NJF852148:NJL852148 NTB852148:NTH852148 OCX852148:ODD852148 OMT852148:OMZ852148 OWP852148:OWV852148 PGL852148:PGR852148 PQH852148:PQN852148 QAD852148:QAJ852148 QJZ852148:QKF852148 QTV852148:QUB852148 RDR852148:RDX852148 RNN852148:RNT852148 RXJ852148:RXP852148 SHF852148:SHL852148 SRB852148:SRH852148 TAX852148:TBD852148 TKT852148:TKZ852148 TUP852148:TUV852148 UEL852148:UER852148 UOH852148:UON852148 UYD852148:UYJ852148 VHZ852148:VIF852148 VRV852148:VSB852148 WBR852148:WBX852148 WLN852148:WLT852148 WVJ852148:WVP852148 B917684:H917684 IX917684:JD917684 ST917684:SZ917684 ACP917684:ACV917684 AML917684:AMR917684 AWH917684:AWN917684 BGD917684:BGJ917684 BPZ917684:BQF917684 BZV917684:CAB917684 CJR917684:CJX917684 CTN917684:CTT917684 DDJ917684:DDP917684 DNF917684:DNL917684 DXB917684:DXH917684 EGX917684:EHD917684 EQT917684:EQZ917684 FAP917684:FAV917684 FKL917684:FKR917684 FUH917684:FUN917684 GED917684:GEJ917684 GNZ917684:GOF917684 GXV917684:GYB917684 HHR917684:HHX917684 HRN917684:HRT917684 IBJ917684:IBP917684 ILF917684:ILL917684 IVB917684:IVH917684 JEX917684:JFD917684 JOT917684:JOZ917684 JYP917684:JYV917684 KIL917684:KIR917684 KSH917684:KSN917684 LCD917684:LCJ917684 LLZ917684:LMF917684 LVV917684:LWB917684 MFR917684:MFX917684 MPN917684:MPT917684 MZJ917684:MZP917684 NJF917684:NJL917684 NTB917684:NTH917684 OCX917684:ODD917684 OMT917684:OMZ917684 OWP917684:OWV917684 PGL917684:PGR917684 PQH917684:PQN917684 QAD917684:QAJ917684 QJZ917684:QKF917684 QTV917684:QUB917684 RDR917684:RDX917684 RNN917684:RNT917684 RXJ917684:RXP917684 SHF917684:SHL917684 SRB917684:SRH917684 TAX917684:TBD917684 TKT917684:TKZ917684 TUP917684:TUV917684 UEL917684:UER917684 UOH917684:UON917684 UYD917684:UYJ917684 VHZ917684:VIF917684 VRV917684:VSB917684 WBR917684:WBX917684 WLN917684:WLT917684 WVJ917684:WVP917684 B983220:H983220 IX983220:JD983220 ST983220:SZ983220 ACP983220:ACV983220 AML983220:AMR983220 AWH983220:AWN983220 BGD983220:BGJ983220 BPZ983220:BQF983220 BZV983220:CAB983220 CJR983220:CJX983220 CTN983220:CTT983220 DDJ983220:DDP983220 DNF983220:DNL983220 DXB983220:DXH983220 EGX983220:EHD983220 EQT983220:EQZ983220 FAP983220:FAV983220 FKL983220:FKR983220 FUH983220:FUN983220 GED983220:GEJ983220 GNZ983220:GOF983220 GXV983220:GYB983220 HHR983220:HHX983220 HRN983220:HRT983220 IBJ983220:IBP983220 ILF983220:ILL983220 IVB983220:IVH983220 JEX983220:JFD983220 JOT983220:JOZ983220 JYP983220:JYV983220 KIL983220:KIR983220 KSH983220:KSN983220 LCD983220:LCJ983220 LLZ983220:LMF983220 LVV983220:LWB983220 MFR983220:MFX983220 MPN983220:MPT983220 MZJ983220:MZP983220 NJF983220:NJL983220 NTB983220:NTH983220 OCX983220:ODD983220 OMT983220:OMZ983220 OWP983220:OWV983220 PGL983220:PGR983220 PQH983220:PQN983220 QAD983220:QAJ983220 QJZ983220:QKF983220 QTV983220:QUB983220 RDR983220:RDX983220 RNN983220:RNT983220 RXJ983220:RXP983220 SHF983220:SHL983220 SRB983220:SRH983220 TAX983220:TBD983220 TKT983220:TKZ983220 TUP983220:TUV983220 UEL983220:UER983220 UOH983220:UON983220 UYD983220:UYJ983220 VHZ983220:VIF983220 VRV983220:VSB983220 WBR983220:WBX983220 WLN983220:WLT983220 WVJ983220:WVP983220 B196:H196 IX196:JD196 ST196:SZ196 ACP196:ACV196 AML196:AMR196 AWH196:AWN196 BGD196:BGJ196 BPZ196:BQF196 BZV196:CAB196 CJR196:CJX196 CTN196:CTT196 DDJ196:DDP196 DNF196:DNL196 DXB196:DXH196 EGX196:EHD196 EQT196:EQZ196 FAP196:FAV196 FKL196:FKR196 FUH196:FUN196 GED196:GEJ196 GNZ196:GOF196 GXV196:GYB196 HHR196:HHX196 HRN196:HRT196 IBJ196:IBP196 ILF196:ILL196 IVB196:IVH196 JEX196:JFD196 JOT196:JOZ196 JYP196:JYV196 KIL196:KIR196 KSH196:KSN196 LCD196:LCJ196 LLZ196:LMF196 LVV196:LWB196 MFR196:MFX196 MPN196:MPT196 MZJ196:MZP196 NJF196:NJL196 NTB196:NTH196 OCX196:ODD196 OMT196:OMZ196 OWP196:OWV196 PGL196:PGR196 PQH196:PQN196 QAD196:QAJ196 QJZ196:QKF196 QTV196:QUB196 RDR196:RDX196 RNN196:RNT196 RXJ196:RXP196 SHF196:SHL196 SRB196:SRH196 TAX196:TBD196 TKT196:TKZ196 TUP196:TUV196 UEL196:UER196 UOH196:UON196 UYD196:UYJ196 VHZ196:VIF196 VRV196:VSB196 WBR196:WBX196 WLN196:WLT196 WVJ196:WVP196 B65732:H65732 IX65732:JD65732 ST65732:SZ65732 ACP65732:ACV65732 AML65732:AMR65732 AWH65732:AWN65732 BGD65732:BGJ65732 BPZ65732:BQF65732 BZV65732:CAB65732 CJR65732:CJX65732 CTN65732:CTT65732 DDJ65732:DDP65732 DNF65732:DNL65732 DXB65732:DXH65732 EGX65732:EHD65732 EQT65732:EQZ65732 FAP65732:FAV65732 FKL65732:FKR65732 FUH65732:FUN65732 GED65732:GEJ65732 GNZ65732:GOF65732 GXV65732:GYB65732 HHR65732:HHX65732 HRN65732:HRT65732 IBJ65732:IBP65732 ILF65732:ILL65732 IVB65732:IVH65732 JEX65732:JFD65732 JOT65732:JOZ65732 JYP65732:JYV65732 KIL65732:KIR65732 KSH65732:KSN65732 LCD65732:LCJ65732 LLZ65732:LMF65732 LVV65732:LWB65732 MFR65732:MFX65732 MPN65732:MPT65732 MZJ65732:MZP65732 NJF65732:NJL65732 NTB65732:NTH65732 OCX65732:ODD65732 OMT65732:OMZ65732 OWP65732:OWV65732 PGL65732:PGR65732 PQH65732:PQN65732 QAD65732:QAJ65732 QJZ65732:QKF65732 QTV65732:QUB65732 RDR65732:RDX65732 RNN65732:RNT65732 RXJ65732:RXP65732 SHF65732:SHL65732 SRB65732:SRH65732 TAX65732:TBD65732 TKT65732:TKZ65732 TUP65732:TUV65732 UEL65732:UER65732 UOH65732:UON65732 UYD65732:UYJ65732 VHZ65732:VIF65732 VRV65732:VSB65732 WBR65732:WBX65732 WLN65732:WLT65732 WVJ65732:WVP65732 B131268:H131268 IX131268:JD131268 ST131268:SZ131268 ACP131268:ACV131268 AML131268:AMR131268 AWH131268:AWN131268 BGD131268:BGJ131268 BPZ131268:BQF131268 BZV131268:CAB131268 CJR131268:CJX131268 CTN131268:CTT131268 DDJ131268:DDP131268 DNF131268:DNL131268 DXB131268:DXH131268 EGX131268:EHD131268 EQT131268:EQZ131268 FAP131268:FAV131268 FKL131268:FKR131268 FUH131268:FUN131268 GED131268:GEJ131268 GNZ131268:GOF131268 GXV131268:GYB131268 HHR131268:HHX131268 HRN131268:HRT131268 IBJ131268:IBP131268 ILF131268:ILL131268 IVB131268:IVH131268 JEX131268:JFD131268 JOT131268:JOZ131268 JYP131268:JYV131268 KIL131268:KIR131268 KSH131268:KSN131268 LCD131268:LCJ131268 LLZ131268:LMF131268 LVV131268:LWB131268 MFR131268:MFX131268 MPN131268:MPT131268 MZJ131268:MZP131268 NJF131268:NJL131268 NTB131268:NTH131268 OCX131268:ODD131268 OMT131268:OMZ131268 OWP131268:OWV131268 PGL131268:PGR131268 PQH131268:PQN131268 QAD131268:QAJ131268 QJZ131268:QKF131268 QTV131268:QUB131268 RDR131268:RDX131268 RNN131268:RNT131268 RXJ131268:RXP131268 SHF131268:SHL131268 SRB131268:SRH131268 TAX131268:TBD131268 TKT131268:TKZ131268 TUP131268:TUV131268 UEL131268:UER131268 UOH131268:UON131268 UYD131268:UYJ131268 VHZ131268:VIF131268 VRV131268:VSB131268 WBR131268:WBX131268 WLN131268:WLT131268 WVJ131268:WVP131268 B196804:H196804 IX196804:JD196804 ST196804:SZ196804 ACP196804:ACV196804 AML196804:AMR196804 AWH196804:AWN196804 BGD196804:BGJ196804 BPZ196804:BQF196804 BZV196804:CAB196804 CJR196804:CJX196804 CTN196804:CTT196804 DDJ196804:DDP196804 DNF196804:DNL196804 DXB196804:DXH196804 EGX196804:EHD196804 EQT196804:EQZ196804 FAP196804:FAV196804 FKL196804:FKR196804 FUH196804:FUN196804 GED196804:GEJ196804 GNZ196804:GOF196804 GXV196804:GYB196804 HHR196804:HHX196804 HRN196804:HRT196804 IBJ196804:IBP196804 ILF196804:ILL196804 IVB196804:IVH196804 JEX196804:JFD196804 JOT196804:JOZ196804 JYP196804:JYV196804 KIL196804:KIR196804 KSH196804:KSN196804 LCD196804:LCJ196804 LLZ196804:LMF196804 LVV196804:LWB196804 MFR196804:MFX196804 MPN196804:MPT196804 MZJ196804:MZP196804 NJF196804:NJL196804 NTB196804:NTH196804 OCX196804:ODD196804 OMT196804:OMZ196804 OWP196804:OWV196804 PGL196804:PGR196804 PQH196804:PQN196804 QAD196804:QAJ196804 QJZ196804:QKF196804 QTV196804:QUB196804 RDR196804:RDX196804 RNN196804:RNT196804 RXJ196804:RXP196804 SHF196804:SHL196804 SRB196804:SRH196804 TAX196804:TBD196804 TKT196804:TKZ196804 TUP196804:TUV196804 UEL196804:UER196804 UOH196804:UON196804 UYD196804:UYJ196804 VHZ196804:VIF196804 VRV196804:VSB196804 WBR196804:WBX196804 WLN196804:WLT196804 WVJ196804:WVP196804 B262340:H262340 IX262340:JD262340 ST262340:SZ262340 ACP262340:ACV262340 AML262340:AMR262340 AWH262340:AWN262340 BGD262340:BGJ262340 BPZ262340:BQF262340 BZV262340:CAB262340 CJR262340:CJX262340 CTN262340:CTT262340 DDJ262340:DDP262340 DNF262340:DNL262340 DXB262340:DXH262340 EGX262340:EHD262340 EQT262340:EQZ262340 FAP262340:FAV262340 FKL262340:FKR262340 FUH262340:FUN262340 GED262340:GEJ262340 GNZ262340:GOF262340 GXV262340:GYB262340 HHR262340:HHX262340 HRN262340:HRT262340 IBJ262340:IBP262340 ILF262340:ILL262340 IVB262340:IVH262340 JEX262340:JFD262340 JOT262340:JOZ262340 JYP262340:JYV262340 KIL262340:KIR262340 KSH262340:KSN262340 LCD262340:LCJ262340 LLZ262340:LMF262340 LVV262340:LWB262340 MFR262340:MFX262340 MPN262340:MPT262340 MZJ262340:MZP262340 NJF262340:NJL262340 NTB262340:NTH262340 OCX262340:ODD262340 OMT262340:OMZ262340 OWP262340:OWV262340 PGL262340:PGR262340 PQH262340:PQN262340 QAD262340:QAJ262340 QJZ262340:QKF262340 QTV262340:QUB262340 RDR262340:RDX262340 RNN262340:RNT262340 RXJ262340:RXP262340 SHF262340:SHL262340 SRB262340:SRH262340 TAX262340:TBD262340 TKT262340:TKZ262340 TUP262340:TUV262340 UEL262340:UER262340 UOH262340:UON262340 UYD262340:UYJ262340 VHZ262340:VIF262340 VRV262340:VSB262340 WBR262340:WBX262340 WLN262340:WLT262340 WVJ262340:WVP262340 B327876:H327876 IX327876:JD327876 ST327876:SZ327876 ACP327876:ACV327876 AML327876:AMR327876 AWH327876:AWN327876 BGD327876:BGJ327876 BPZ327876:BQF327876 BZV327876:CAB327876 CJR327876:CJX327876 CTN327876:CTT327876 DDJ327876:DDP327876 DNF327876:DNL327876 DXB327876:DXH327876 EGX327876:EHD327876 EQT327876:EQZ327876 FAP327876:FAV327876 FKL327876:FKR327876 FUH327876:FUN327876 GED327876:GEJ327876 GNZ327876:GOF327876 GXV327876:GYB327876 HHR327876:HHX327876 HRN327876:HRT327876 IBJ327876:IBP327876 ILF327876:ILL327876 IVB327876:IVH327876 JEX327876:JFD327876 JOT327876:JOZ327876 JYP327876:JYV327876 KIL327876:KIR327876 KSH327876:KSN327876 LCD327876:LCJ327876 LLZ327876:LMF327876 LVV327876:LWB327876 MFR327876:MFX327876 MPN327876:MPT327876 MZJ327876:MZP327876 NJF327876:NJL327876 NTB327876:NTH327876 OCX327876:ODD327876 OMT327876:OMZ327876 OWP327876:OWV327876 PGL327876:PGR327876 PQH327876:PQN327876 QAD327876:QAJ327876 QJZ327876:QKF327876 QTV327876:QUB327876 RDR327876:RDX327876 RNN327876:RNT327876 RXJ327876:RXP327876 SHF327876:SHL327876 SRB327876:SRH327876 TAX327876:TBD327876 TKT327876:TKZ327876 TUP327876:TUV327876 UEL327876:UER327876 UOH327876:UON327876 UYD327876:UYJ327876 VHZ327876:VIF327876 VRV327876:VSB327876 WBR327876:WBX327876 WLN327876:WLT327876 WVJ327876:WVP327876 B393412:H393412 IX393412:JD393412 ST393412:SZ393412 ACP393412:ACV393412 AML393412:AMR393412 AWH393412:AWN393412 BGD393412:BGJ393412 BPZ393412:BQF393412 BZV393412:CAB393412 CJR393412:CJX393412 CTN393412:CTT393412 DDJ393412:DDP393412 DNF393412:DNL393412 DXB393412:DXH393412 EGX393412:EHD393412 EQT393412:EQZ393412 FAP393412:FAV393412 FKL393412:FKR393412 FUH393412:FUN393412 GED393412:GEJ393412 GNZ393412:GOF393412 GXV393412:GYB393412 HHR393412:HHX393412 HRN393412:HRT393412 IBJ393412:IBP393412 ILF393412:ILL393412 IVB393412:IVH393412 JEX393412:JFD393412 JOT393412:JOZ393412 JYP393412:JYV393412 KIL393412:KIR393412 KSH393412:KSN393412 LCD393412:LCJ393412 LLZ393412:LMF393412 LVV393412:LWB393412 MFR393412:MFX393412 MPN393412:MPT393412 MZJ393412:MZP393412 NJF393412:NJL393412 NTB393412:NTH393412 OCX393412:ODD393412 OMT393412:OMZ393412 OWP393412:OWV393412 PGL393412:PGR393412 PQH393412:PQN393412 QAD393412:QAJ393412 QJZ393412:QKF393412 QTV393412:QUB393412 RDR393412:RDX393412 RNN393412:RNT393412 RXJ393412:RXP393412 SHF393412:SHL393412 SRB393412:SRH393412 TAX393412:TBD393412 TKT393412:TKZ393412 TUP393412:TUV393412 UEL393412:UER393412 UOH393412:UON393412 UYD393412:UYJ393412 VHZ393412:VIF393412 VRV393412:VSB393412 WBR393412:WBX393412 WLN393412:WLT393412 WVJ393412:WVP393412 B458948:H458948 IX458948:JD458948 ST458948:SZ458948 ACP458948:ACV458948 AML458948:AMR458948 AWH458948:AWN458948 BGD458948:BGJ458948 BPZ458948:BQF458948 BZV458948:CAB458948 CJR458948:CJX458948 CTN458948:CTT458948 DDJ458948:DDP458948 DNF458948:DNL458948 DXB458948:DXH458948 EGX458948:EHD458948 EQT458948:EQZ458948 FAP458948:FAV458948 FKL458948:FKR458948 FUH458948:FUN458948 GED458948:GEJ458948 GNZ458948:GOF458948 GXV458948:GYB458948 HHR458948:HHX458948 HRN458948:HRT458948 IBJ458948:IBP458948 ILF458948:ILL458948 IVB458948:IVH458948 JEX458948:JFD458948 JOT458948:JOZ458948 JYP458948:JYV458948 KIL458948:KIR458948 KSH458948:KSN458948 LCD458948:LCJ458948 LLZ458948:LMF458948 LVV458948:LWB458948 MFR458948:MFX458948 MPN458948:MPT458948 MZJ458948:MZP458948 NJF458948:NJL458948 NTB458948:NTH458948 OCX458948:ODD458948 OMT458948:OMZ458948 OWP458948:OWV458948 PGL458948:PGR458948 PQH458948:PQN458948 QAD458948:QAJ458948 QJZ458948:QKF458948 QTV458948:QUB458948 RDR458948:RDX458948 RNN458948:RNT458948 RXJ458948:RXP458948 SHF458948:SHL458948 SRB458948:SRH458948 TAX458948:TBD458948 TKT458948:TKZ458948 TUP458948:TUV458948 UEL458948:UER458948 UOH458948:UON458948 UYD458948:UYJ458948 VHZ458948:VIF458948 VRV458948:VSB458948 WBR458948:WBX458948 WLN458948:WLT458948 WVJ458948:WVP458948 B524484:H524484 IX524484:JD524484 ST524484:SZ524484 ACP524484:ACV524484 AML524484:AMR524484 AWH524484:AWN524484 BGD524484:BGJ524484 BPZ524484:BQF524484 BZV524484:CAB524484 CJR524484:CJX524484 CTN524484:CTT524484 DDJ524484:DDP524484 DNF524484:DNL524484 DXB524484:DXH524484 EGX524484:EHD524484 EQT524484:EQZ524484 FAP524484:FAV524484 FKL524484:FKR524484 FUH524484:FUN524484 GED524484:GEJ524484 GNZ524484:GOF524484 GXV524484:GYB524484 HHR524484:HHX524484 HRN524484:HRT524484 IBJ524484:IBP524484 ILF524484:ILL524484 IVB524484:IVH524484 JEX524484:JFD524484 JOT524484:JOZ524484 JYP524484:JYV524484 KIL524484:KIR524484 KSH524484:KSN524484 LCD524484:LCJ524484 LLZ524484:LMF524484 LVV524484:LWB524484 MFR524484:MFX524484 MPN524484:MPT524484 MZJ524484:MZP524484 NJF524484:NJL524484 NTB524484:NTH524484 OCX524484:ODD524484 OMT524484:OMZ524484 OWP524484:OWV524484 PGL524484:PGR524484 PQH524484:PQN524484 QAD524484:QAJ524484 QJZ524484:QKF524484 QTV524484:QUB524484 RDR524484:RDX524484 RNN524484:RNT524484 RXJ524484:RXP524484 SHF524484:SHL524484 SRB524484:SRH524484 TAX524484:TBD524484 TKT524484:TKZ524484 TUP524484:TUV524484 UEL524484:UER524484 UOH524484:UON524484 UYD524484:UYJ524484 VHZ524484:VIF524484 VRV524484:VSB524484 WBR524484:WBX524484 WLN524484:WLT524484 WVJ524484:WVP524484 B590020:H590020 IX590020:JD590020 ST590020:SZ590020 ACP590020:ACV590020 AML590020:AMR590020 AWH590020:AWN590020 BGD590020:BGJ590020 BPZ590020:BQF590020 BZV590020:CAB590020 CJR590020:CJX590020 CTN590020:CTT590020 DDJ590020:DDP590020 DNF590020:DNL590020 DXB590020:DXH590020 EGX590020:EHD590020 EQT590020:EQZ590020 FAP590020:FAV590020 FKL590020:FKR590020 FUH590020:FUN590020 GED590020:GEJ590020 GNZ590020:GOF590020 GXV590020:GYB590020 HHR590020:HHX590020 HRN590020:HRT590020 IBJ590020:IBP590020 ILF590020:ILL590020 IVB590020:IVH590020 JEX590020:JFD590020 JOT590020:JOZ590020 JYP590020:JYV590020 KIL590020:KIR590020 KSH590020:KSN590020 LCD590020:LCJ590020 LLZ590020:LMF590020 LVV590020:LWB590020 MFR590020:MFX590020 MPN590020:MPT590020 MZJ590020:MZP590020 NJF590020:NJL590020 NTB590020:NTH590020 OCX590020:ODD590020 OMT590020:OMZ590020 OWP590020:OWV590020 PGL590020:PGR590020 PQH590020:PQN590020 QAD590020:QAJ590020 QJZ590020:QKF590020 QTV590020:QUB590020 RDR590020:RDX590020 RNN590020:RNT590020 RXJ590020:RXP590020 SHF590020:SHL590020 SRB590020:SRH590020 TAX590020:TBD590020 TKT590020:TKZ590020 TUP590020:TUV590020 UEL590020:UER590020 UOH590020:UON590020 UYD590020:UYJ590020 VHZ590020:VIF590020 VRV590020:VSB590020 WBR590020:WBX590020 WLN590020:WLT590020 WVJ590020:WVP590020 B655556:H655556 IX655556:JD655556 ST655556:SZ655556 ACP655556:ACV655556 AML655556:AMR655556 AWH655556:AWN655556 BGD655556:BGJ655556 BPZ655556:BQF655556 BZV655556:CAB655556 CJR655556:CJX655556 CTN655556:CTT655556 DDJ655556:DDP655556 DNF655556:DNL655556 DXB655556:DXH655556 EGX655556:EHD655556 EQT655556:EQZ655556 FAP655556:FAV655556 FKL655556:FKR655556 FUH655556:FUN655556 GED655556:GEJ655556 GNZ655556:GOF655556 GXV655556:GYB655556 HHR655556:HHX655556 HRN655556:HRT655556 IBJ655556:IBP655556 ILF655556:ILL655556 IVB655556:IVH655556 JEX655556:JFD655556 JOT655556:JOZ655556 JYP655556:JYV655556 KIL655556:KIR655556 KSH655556:KSN655556 LCD655556:LCJ655556 LLZ655556:LMF655556 LVV655556:LWB655556 MFR655556:MFX655556 MPN655556:MPT655556 MZJ655556:MZP655556 NJF655556:NJL655556 NTB655556:NTH655556 OCX655556:ODD655556 OMT655556:OMZ655556 OWP655556:OWV655556 PGL655556:PGR655556 PQH655556:PQN655556 QAD655556:QAJ655556 QJZ655556:QKF655556 QTV655556:QUB655556 RDR655556:RDX655556 RNN655556:RNT655556 RXJ655556:RXP655556 SHF655556:SHL655556 SRB655556:SRH655556 TAX655556:TBD655556 TKT655556:TKZ655556 TUP655556:TUV655556 UEL655556:UER655556 UOH655556:UON655556 UYD655556:UYJ655556 VHZ655556:VIF655556 VRV655556:VSB655556 WBR655556:WBX655556 WLN655556:WLT655556 WVJ655556:WVP655556 B721092:H721092 IX721092:JD721092 ST721092:SZ721092 ACP721092:ACV721092 AML721092:AMR721092 AWH721092:AWN721092 BGD721092:BGJ721092 BPZ721092:BQF721092 BZV721092:CAB721092 CJR721092:CJX721092 CTN721092:CTT721092 DDJ721092:DDP721092 DNF721092:DNL721092 DXB721092:DXH721092 EGX721092:EHD721092 EQT721092:EQZ721092 FAP721092:FAV721092 FKL721092:FKR721092 FUH721092:FUN721092 GED721092:GEJ721092 GNZ721092:GOF721092 GXV721092:GYB721092 HHR721092:HHX721092 HRN721092:HRT721092 IBJ721092:IBP721092 ILF721092:ILL721092 IVB721092:IVH721092 JEX721092:JFD721092 JOT721092:JOZ721092 JYP721092:JYV721092 KIL721092:KIR721092 KSH721092:KSN721092 LCD721092:LCJ721092 LLZ721092:LMF721092 LVV721092:LWB721092 MFR721092:MFX721092 MPN721092:MPT721092 MZJ721092:MZP721092 NJF721092:NJL721092 NTB721092:NTH721092 OCX721092:ODD721092 OMT721092:OMZ721092 OWP721092:OWV721092 PGL721092:PGR721092 PQH721092:PQN721092 QAD721092:QAJ721092 QJZ721092:QKF721092 QTV721092:QUB721092 RDR721092:RDX721092 RNN721092:RNT721092 RXJ721092:RXP721092 SHF721092:SHL721092 SRB721092:SRH721092 TAX721092:TBD721092 TKT721092:TKZ721092 TUP721092:TUV721092 UEL721092:UER721092 UOH721092:UON721092 UYD721092:UYJ721092 VHZ721092:VIF721092 VRV721092:VSB721092 WBR721092:WBX721092 WLN721092:WLT721092 WVJ721092:WVP721092 B786628:H786628 IX786628:JD786628 ST786628:SZ786628 ACP786628:ACV786628 AML786628:AMR786628 AWH786628:AWN786628 BGD786628:BGJ786628 BPZ786628:BQF786628 BZV786628:CAB786628 CJR786628:CJX786628 CTN786628:CTT786628 DDJ786628:DDP786628 DNF786628:DNL786628 DXB786628:DXH786628 EGX786628:EHD786628 EQT786628:EQZ786628 FAP786628:FAV786628 FKL786628:FKR786628 FUH786628:FUN786628 GED786628:GEJ786628 GNZ786628:GOF786628 GXV786628:GYB786628 HHR786628:HHX786628 HRN786628:HRT786628 IBJ786628:IBP786628 ILF786628:ILL786628 IVB786628:IVH786628 JEX786628:JFD786628 JOT786628:JOZ786628 JYP786628:JYV786628 KIL786628:KIR786628 KSH786628:KSN786628 LCD786628:LCJ786628 LLZ786628:LMF786628 LVV786628:LWB786628 MFR786628:MFX786628 MPN786628:MPT786628 MZJ786628:MZP786628 NJF786628:NJL786628 NTB786628:NTH786628 OCX786628:ODD786628 OMT786628:OMZ786628 OWP786628:OWV786628 PGL786628:PGR786628 PQH786628:PQN786628 QAD786628:QAJ786628 QJZ786628:QKF786628 QTV786628:QUB786628 RDR786628:RDX786628 RNN786628:RNT786628 RXJ786628:RXP786628 SHF786628:SHL786628 SRB786628:SRH786628 TAX786628:TBD786628 TKT786628:TKZ786628 TUP786628:TUV786628 UEL786628:UER786628 UOH786628:UON786628 UYD786628:UYJ786628 VHZ786628:VIF786628 VRV786628:VSB786628 WBR786628:WBX786628 WLN786628:WLT786628 WVJ786628:WVP786628 B852164:H852164 IX852164:JD852164 ST852164:SZ852164 ACP852164:ACV852164 AML852164:AMR852164 AWH852164:AWN852164 BGD852164:BGJ852164 BPZ852164:BQF852164 BZV852164:CAB852164 CJR852164:CJX852164 CTN852164:CTT852164 DDJ852164:DDP852164 DNF852164:DNL852164 DXB852164:DXH852164 EGX852164:EHD852164 EQT852164:EQZ852164 FAP852164:FAV852164 FKL852164:FKR852164 FUH852164:FUN852164 GED852164:GEJ852164 GNZ852164:GOF852164 GXV852164:GYB852164 HHR852164:HHX852164 HRN852164:HRT852164 IBJ852164:IBP852164 ILF852164:ILL852164 IVB852164:IVH852164 JEX852164:JFD852164 JOT852164:JOZ852164 JYP852164:JYV852164 KIL852164:KIR852164 KSH852164:KSN852164 LCD852164:LCJ852164 LLZ852164:LMF852164 LVV852164:LWB852164 MFR852164:MFX852164 MPN852164:MPT852164 MZJ852164:MZP852164 NJF852164:NJL852164 NTB852164:NTH852164 OCX852164:ODD852164 OMT852164:OMZ852164 OWP852164:OWV852164 PGL852164:PGR852164 PQH852164:PQN852164 QAD852164:QAJ852164 QJZ852164:QKF852164 QTV852164:QUB852164 RDR852164:RDX852164 RNN852164:RNT852164 RXJ852164:RXP852164 SHF852164:SHL852164 SRB852164:SRH852164 TAX852164:TBD852164 TKT852164:TKZ852164 TUP852164:TUV852164 UEL852164:UER852164 UOH852164:UON852164 UYD852164:UYJ852164 VHZ852164:VIF852164 VRV852164:VSB852164 WBR852164:WBX852164 WLN852164:WLT852164 WVJ852164:WVP852164 B917700:H917700 IX917700:JD917700 ST917700:SZ917700 ACP917700:ACV917700 AML917700:AMR917700 AWH917700:AWN917700 BGD917700:BGJ917700 BPZ917700:BQF917700 BZV917700:CAB917700 CJR917700:CJX917700 CTN917700:CTT917700 DDJ917700:DDP917700 DNF917700:DNL917700 DXB917700:DXH917700 EGX917700:EHD917700 EQT917700:EQZ917700 FAP917700:FAV917700 FKL917700:FKR917700 FUH917700:FUN917700 GED917700:GEJ917700 GNZ917700:GOF917700 GXV917700:GYB917700 HHR917700:HHX917700 HRN917700:HRT917700 IBJ917700:IBP917700 ILF917700:ILL917700 IVB917700:IVH917700 JEX917700:JFD917700 JOT917700:JOZ917700 JYP917700:JYV917700 KIL917700:KIR917700 KSH917700:KSN917700 LCD917700:LCJ917700 LLZ917700:LMF917700 LVV917700:LWB917700 MFR917700:MFX917700 MPN917700:MPT917700 MZJ917700:MZP917700 NJF917700:NJL917700 NTB917700:NTH917700 OCX917700:ODD917700 OMT917700:OMZ917700 OWP917700:OWV917700 PGL917700:PGR917700 PQH917700:PQN917700 QAD917700:QAJ917700 QJZ917700:QKF917700 QTV917700:QUB917700 RDR917700:RDX917700 RNN917700:RNT917700 RXJ917700:RXP917700 SHF917700:SHL917700 SRB917700:SRH917700 TAX917700:TBD917700 TKT917700:TKZ917700 TUP917700:TUV917700 UEL917700:UER917700 UOH917700:UON917700 UYD917700:UYJ917700 VHZ917700:VIF917700 VRV917700:VSB917700 WBR917700:WBX917700 WLN917700:WLT917700 WVJ917700:WVP917700 B983236:H983236 IX983236:JD983236 ST983236:SZ983236 ACP983236:ACV983236 AML983236:AMR983236 AWH983236:AWN983236 BGD983236:BGJ983236 BPZ983236:BQF983236 BZV983236:CAB983236 CJR983236:CJX983236 CTN983236:CTT983236 DDJ983236:DDP983236 DNF983236:DNL983236 DXB983236:DXH983236 EGX983236:EHD983236 EQT983236:EQZ983236 FAP983236:FAV983236 FKL983236:FKR983236 FUH983236:FUN983236 GED983236:GEJ983236 GNZ983236:GOF983236 GXV983236:GYB983236 HHR983236:HHX983236 HRN983236:HRT983236 IBJ983236:IBP983236 ILF983236:ILL983236 IVB983236:IVH983236 JEX983236:JFD983236 JOT983236:JOZ983236 JYP983236:JYV983236 KIL983236:KIR983236 KSH983236:KSN983236 LCD983236:LCJ983236 LLZ983236:LMF983236 LVV983236:LWB983236 MFR983236:MFX983236 MPN983236:MPT983236 MZJ983236:MZP983236 NJF983236:NJL983236 NTB983236:NTH983236 OCX983236:ODD983236 OMT983236:OMZ983236 OWP983236:OWV983236 PGL983236:PGR983236 PQH983236:PQN983236 QAD983236:QAJ983236 QJZ983236:QKF983236 QTV983236:QUB983236 RDR983236:RDX983236 RNN983236:RNT983236 RXJ983236:RXP983236 SHF983236:SHL983236 SRB983236:SRH983236 TAX983236:TBD983236 TKT983236:TKZ983236 TUP983236:TUV983236 UEL983236:UER983236 UOH983236:UON983236 UYD983236:UYJ983236 VHZ983236:VIF983236 VRV983236:VSB983236 WBR983236:WBX983236 WLN983236:WLT983236 WVJ983236:WVP983236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61</vt:i4>
      </vt:variant>
    </vt:vector>
  </HeadingPairs>
  <TitlesOfParts>
    <vt:vector size="66" baseType="lpstr">
      <vt:lpstr>Themes</vt:lpstr>
      <vt:lpstr>Holidays</vt:lpstr>
      <vt:lpstr>Working Days</vt:lpstr>
      <vt:lpstr>Overview</vt:lpstr>
      <vt:lpstr>Calendar</vt:lpstr>
      <vt:lpstr>Calendar10Month</vt:lpstr>
      <vt:lpstr>Calendar10Year</vt:lpstr>
      <vt:lpstr>Calendar11Month</vt:lpstr>
      <vt:lpstr>Calendar11Year</vt:lpstr>
      <vt:lpstr>Calendar12Month</vt:lpstr>
      <vt:lpstr>Calendar12Year</vt:lpstr>
      <vt:lpstr>Calendar1Month</vt:lpstr>
      <vt:lpstr>Calendar1Year</vt:lpstr>
      <vt:lpstr>Calendar2Month</vt:lpstr>
      <vt:lpstr>Calendar2Year</vt:lpstr>
      <vt:lpstr>Calendar3Month</vt:lpstr>
      <vt:lpstr>Calendar3Year</vt:lpstr>
      <vt:lpstr>Calendar4Month</vt:lpstr>
      <vt:lpstr>Calendar4Year</vt:lpstr>
      <vt:lpstr>Calendar5Month</vt:lpstr>
      <vt:lpstr>Calendar5Year</vt:lpstr>
      <vt:lpstr>Calendar6Month</vt:lpstr>
      <vt:lpstr>Calendar6Year</vt:lpstr>
      <vt:lpstr>Calendar7Month</vt:lpstr>
      <vt:lpstr>Calendar7Year</vt:lpstr>
      <vt:lpstr>Calendar8Month</vt:lpstr>
      <vt:lpstr>Calendar8Year</vt:lpstr>
      <vt:lpstr>Calendar9Month</vt:lpstr>
      <vt:lpstr>Calendar9Year</vt:lpstr>
      <vt:lpstr>ColumnTitleRegion1..H12.1</vt:lpstr>
      <vt:lpstr>ColumnTitleRegion10..H54.1</vt:lpstr>
      <vt:lpstr>ColumnTitleRegion11..C56.1</vt:lpstr>
      <vt:lpstr>ColumnTitleRegion12..D56.1</vt:lpstr>
      <vt:lpstr>ColumnTitleRegion13..H68.1</vt:lpstr>
      <vt:lpstr>ColumnTitleRegion14..C70.1</vt:lpstr>
      <vt:lpstr>ColumnTitleRegion15..D70.1</vt:lpstr>
      <vt:lpstr>ColumnTitleRegion16..H82.1</vt:lpstr>
      <vt:lpstr>ColumnTitleRegion17..C84.1</vt:lpstr>
      <vt:lpstr>ColumnTitleRegion18..D84.1</vt:lpstr>
      <vt:lpstr>ColumnTitleRegion19..H96.1</vt:lpstr>
      <vt:lpstr>ColumnTitleRegion2..C14.1</vt:lpstr>
      <vt:lpstr>ColumnTitleRegion20..C98.1</vt:lpstr>
      <vt:lpstr>ColumnTitleRegion21..D98.1</vt:lpstr>
      <vt:lpstr>ColumnTitleRegion22..H110.1</vt:lpstr>
      <vt:lpstr>ColumnTitleRegion23..C112.1</vt:lpstr>
      <vt:lpstr>ColumnTitleRegion24..D112.1</vt:lpstr>
      <vt:lpstr>ColumnTitleRegion25..H124.1</vt:lpstr>
      <vt:lpstr>ColumnTitleRegion26..C126.1</vt:lpstr>
      <vt:lpstr>ColumnTitleRegion27..D126.1</vt:lpstr>
      <vt:lpstr>ColumnTitleRegion28..H138.1</vt:lpstr>
      <vt:lpstr>ColumnTitleRegion29..C140.1</vt:lpstr>
      <vt:lpstr>ColumnTitleRegion3..D14.1</vt:lpstr>
      <vt:lpstr>ColumnTitleRegion30..D140.1</vt:lpstr>
      <vt:lpstr>ColumnTitleRegion31..H152.1</vt:lpstr>
      <vt:lpstr>ColumnTitleRegion32..C154.1</vt:lpstr>
      <vt:lpstr>ColumnTitleRegion33..D154.1</vt:lpstr>
      <vt:lpstr>ColumnTitleRegion34..H166.1</vt:lpstr>
      <vt:lpstr>ColumnTitleRegion35..C168.1</vt:lpstr>
      <vt:lpstr>ColumnTitleRegion36..D168.1</vt:lpstr>
      <vt:lpstr>ColumnTitleRegion4..H26.1</vt:lpstr>
      <vt:lpstr>ColumnTitleRegion5..C28.1</vt:lpstr>
      <vt:lpstr>ColumnTitleRegion6..D28.1</vt:lpstr>
      <vt:lpstr>ColumnTitleRegion7..H40.1</vt:lpstr>
      <vt:lpstr>ColumnTitleRegion8..C42.1</vt:lpstr>
      <vt:lpstr>ColumnTitleRegion9..D42.1</vt:lpstr>
      <vt:lpstr>WeekStart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nune rajesh</dc:creator>
  <cp:lastModifiedBy>nune rajesh</cp:lastModifiedBy>
  <dcterms:created xsi:type="dcterms:W3CDTF">2026-09-25T06:32:32Z</dcterms:created>
  <dcterms:modified xsi:type="dcterms:W3CDTF">2026-09-25T06:32:38Z</dcterms:modified>
</cp:coreProperties>
</file>